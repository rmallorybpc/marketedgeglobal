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445df10b18ba9916/Documents/TMG/Market Edge Global/"/>
    </mc:Choice>
  </mc:AlternateContent>
  <xr:revisionPtr revIDLastSave="0" documentId="11_7F660591B07F48B351AA470D92D2FE804825F0E5" xr6:coauthVersionLast="47" xr6:coauthVersionMax="47" xr10:uidLastSave="{00000000-0000-0000-0000-000000000000}"/>
  <bookViews>
    <workbookView xWindow="-27675" yWindow="-13185" windowWidth="21600" windowHeight="11295" xr2:uid="{00000000-000D-0000-FFFF-FFFF00000000}"/>
  </bookViews>
  <sheets>
    <sheet name="Visual Summary" sheetId="1" r:id="rId1"/>
    <sheet name="Smart Rice" sheetId="2" r:id="rId2"/>
    <sheet name="Banana" sheetId="3" r:id="rId3"/>
    <sheet name="Shrimp"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LEfSUwlHVRvPw1K0SGNurFcExQEkzv/lVAwuzVDNDxw="/>
    </ext>
  </extLst>
</workbook>
</file>

<file path=xl/calcChain.xml><?xml version="1.0" encoding="utf-8"?>
<calcChain xmlns="http://schemas.openxmlformats.org/spreadsheetml/2006/main">
  <c r="P38" i="4" l="1"/>
  <c r="I38" i="4"/>
  <c r="P37" i="4"/>
  <c r="I37" i="4"/>
  <c r="E37" i="4"/>
  <c r="P36" i="4"/>
  <c r="I36" i="4"/>
  <c r="F36" i="4"/>
  <c r="P35" i="4"/>
  <c r="I35" i="4"/>
  <c r="F35" i="4"/>
  <c r="P34" i="4"/>
  <c r="I34" i="4"/>
  <c r="F34" i="4"/>
  <c r="P33" i="4"/>
  <c r="I33" i="4"/>
  <c r="F33" i="4"/>
  <c r="P32" i="4"/>
  <c r="P39" i="4" s="1"/>
  <c r="I32" i="4"/>
  <c r="F32" i="4"/>
  <c r="F37" i="4" s="1"/>
  <c r="L35" i="4" s="1"/>
  <c r="D8" i="1" s="1"/>
  <c r="C31" i="4"/>
  <c r="K29" i="4"/>
  <c r="E29" i="4"/>
  <c r="L28" i="4"/>
  <c r="L29" i="4" s="1"/>
  <c r="L38" i="4" s="1"/>
  <c r="D11" i="1" s="1"/>
  <c r="F28" i="4"/>
  <c r="F29" i="4" s="1"/>
  <c r="L34" i="4" s="1"/>
  <c r="D7" i="1" s="1"/>
  <c r="L27" i="4"/>
  <c r="F27" i="4"/>
  <c r="L26" i="4"/>
  <c r="F26" i="4"/>
  <c r="L25" i="4"/>
  <c r="F25" i="4"/>
  <c r="L24" i="4"/>
  <c r="F24" i="4"/>
  <c r="I23" i="4"/>
  <c r="C23" i="4"/>
  <c r="K21" i="4"/>
  <c r="E21" i="4"/>
  <c r="L20" i="4"/>
  <c r="F20" i="4"/>
  <c r="L19" i="4"/>
  <c r="F19" i="4"/>
  <c r="L18" i="4"/>
  <c r="F18" i="4"/>
  <c r="L17" i="4"/>
  <c r="F17" i="4"/>
  <c r="L16" i="4"/>
  <c r="L21" i="4" s="1"/>
  <c r="L37" i="4" s="1"/>
  <c r="D10" i="1" s="1"/>
  <c r="F16" i="4"/>
  <c r="F21" i="4" s="1"/>
  <c r="L33" i="4" s="1"/>
  <c r="D6" i="1" s="1"/>
  <c r="I15" i="4"/>
  <c r="C15" i="4"/>
  <c r="K12" i="4"/>
  <c r="E12" i="4"/>
  <c r="L11" i="4"/>
  <c r="F11" i="4"/>
  <c r="L10" i="4"/>
  <c r="F10" i="4"/>
  <c r="L9" i="4"/>
  <c r="L12" i="4" s="1"/>
  <c r="L36" i="4" s="1"/>
  <c r="D9" i="1" s="1"/>
  <c r="F9" i="4"/>
  <c r="F12" i="4" s="1"/>
  <c r="L32" i="4" s="1"/>
  <c r="D5" i="1" s="1"/>
  <c r="L8" i="4"/>
  <c r="F8" i="4"/>
  <c r="L7" i="4"/>
  <c r="F7" i="4"/>
  <c r="I6" i="4"/>
  <c r="C6" i="4"/>
  <c r="K5" i="4"/>
  <c r="J5" i="4"/>
  <c r="D3" i="4"/>
  <c r="P38" i="3"/>
  <c r="I38" i="3"/>
  <c r="P37" i="3"/>
  <c r="I37" i="3"/>
  <c r="E37" i="3"/>
  <c r="P36" i="3"/>
  <c r="I36" i="3"/>
  <c r="F36" i="3"/>
  <c r="P35" i="3"/>
  <c r="I35" i="3"/>
  <c r="F35" i="3"/>
  <c r="P34" i="3"/>
  <c r="I34" i="3"/>
  <c r="F34" i="3"/>
  <c r="P33" i="3"/>
  <c r="I33" i="3"/>
  <c r="F33" i="3"/>
  <c r="F37" i="3" s="1"/>
  <c r="L35" i="3" s="1"/>
  <c r="E8" i="1" s="1"/>
  <c r="P32" i="3"/>
  <c r="F32" i="3"/>
  <c r="C31" i="3"/>
  <c r="K29" i="3"/>
  <c r="E29" i="3"/>
  <c r="L28" i="3"/>
  <c r="F28" i="3"/>
  <c r="L27" i="3"/>
  <c r="F27" i="3"/>
  <c r="L26" i="3"/>
  <c r="F26" i="3"/>
  <c r="L25" i="3"/>
  <c r="F25" i="3"/>
  <c r="L24" i="3"/>
  <c r="L29" i="3" s="1"/>
  <c r="L38" i="3" s="1"/>
  <c r="E11" i="1" s="1"/>
  <c r="F24" i="3"/>
  <c r="F29" i="3" s="1"/>
  <c r="L34" i="3" s="1"/>
  <c r="E7" i="1" s="1"/>
  <c r="I23" i="3"/>
  <c r="C23" i="3"/>
  <c r="K21" i="3"/>
  <c r="E21" i="3"/>
  <c r="L20" i="3"/>
  <c r="F20" i="3"/>
  <c r="L19" i="3"/>
  <c r="F19" i="3"/>
  <c r="L18" i="3"/>
  <c r="F18" i="3"/>
  <c r="L17" i="3"/>
  <c r="F17" i="3"/>
  <c r="L16" i="3"/>
  <c r="L21" i="3" s="1"/>
  <c r="F16" i="3"/>
  <c r="F21" i="3" s="1"/>
  <c r="L33" i="3" s="1"/>
  <c r="E6" i="1" s="1"/>
  <c r="I15" i="3"/>
  <c r="C15" i="3"/>
  <c r="L12" i="3"/>
  <c r="K12" i="3"/>
  <c r="E12" i="3"/>
  <c r="L11" i="3"/>
  <c r="F11" i="3"/>
  <c r="L10" i="3"/>
  <c r="F10" i="3"/>
  <c r="L9" i="3"/>
  <c r="F9" i="3"/>
  <c r="L8" i="3"/>
  <c r="F8" i="3"/>
  <c r="L7" i="3"/>
  <c r="F7" i="3"/>
  <c r="F12" i="3" s="1"/>
  <c r="L32" i="3" s="1"/>
  <c r="E5" i="1" s="1"/>
  <c r="I6" i="3"/>
  <c r="C6" i="3"/>
  <c r="I32" i="3" s="1"/>
  <c r="K5" i="3"/>
  <c r="J5" i="3"/>
  <c r="P38" i="2"/>
  <c r="I38" i="2"/>
  <c r="P37" i="2"/>
  <c r="D78" i="1" s="1"/>
  <c r="I37" i="2"/>
  <c r="E37" i="2"/>
  <c r="P36" i="2"/>
  <c r="D77" i="1" s="1"/>
  <c r="I36" i="2"/>
  <c r="F36" i="2"/>
  <c r="P35" i="2"/>
  <c r="D76" i="1" s="1"/>
  <c r="I35" i="2"/>
  <c r="F35" i="2"/>
  <c r="F37" i="2" s="1"/>
  <c r="L35" i="2" s="1"/>
  <c r="C8" i="1" s="1"/>
  <c r="P34" i="2"/>
  <c r="I34" i="2"/>
  <c r="F34" i="2"/>
  <c r="P33" i="2"/>
  <c r="I33" i="2"/>
  <c r="F33" i="2"/>
  <c r="P32" i="2"/>
  <c r="F32" i="2"/>
  <c r="C31" i="2"/>
  <c r="K29" i="2"/>
  <c r="E29" i="2"/>
  <c r="L28" i="2"/>
  <c r="F28" i="2"/>
  <c r="L27" i="2"/>
  <c r="F27" i="2"/>
  <c r="L26" i="2"/>
  <c r="F26" i="2"/>
  <c r="L25" i="2"/>
  <c r="F25" i="2"/>
  <c r="L24" i="2"/>
  <c r="L29" i="2" s="1"/>
  <c r="L38" i="2" s="1"/>
  <c r="C11" i="1" s="1"/>
  <c r="F24" i="2"/>
  <c r="F29" i="2" s="1"/>
  <c r="L34" i="2" s="1"/>
  <c r="C7" i="1" s="1"/>
  <c r="I23" i="2"/>
  <c r="C23" i="2"/>
  <c r="K21" i="2"/>
  <c r="E21" i="2"/>
  <c r="L20" i="2"/>
  <c r="F20" i="2"/>
  <c r="L19" i="2"/>
  <c r="F19" i="2"/>
  <c r="L18" i="2"/>
  <c r="L21" i="2" s="1"/>
  <c r="L37" i="2" s="1"/>
  <c r="C10" i="1" s="1"/>
  <c r="F18" i="2"/>
  <c r="F21" i="2" s="1"/>
  <c r="L33" i="2" s="1"/>
  <c r="C6" i="1" s="1"/>
  <c r="L17" i="2"/>
  <c r="F17" i="2"/>
  <c r="L16" i="2"/>
  <c r="F16" i="2"/>
  <c r="I15" i="2"/>
  <c r="C15" i="2"/>
  <c r="K12" i="2"/>
  <c r="E12" i="2"/>
  <c r="L11" i="2"/>
  <c r="F11" i="2"/>
  <c r="L10" i="2"/>
  <c r="F10" i="2"/>
  <c r="L9" i="2"/>
  <c r="F9" i="2"/>
  <c r="L8" i="2"/>
  <c r="F8" i="2"/>
  <c r="L7" i="2"/>
  <c r="L12" i="2" s="1"/>
  <c r="L36" i="2" s="1"/>
  <c r="C9" i="1" s="1"/>
  <c r="F7" i="2"/>
  <c r="F12" i="2" s="1"/>
  <c r="L32" i="2" s="1"/>
  <c r="C5" i="1" s="1"/>
  <c r="C12" i="1" s="1"/>
  <c r="I6" i="2"/>
  <c r="C6" i="2"/>
  <c r="I32" i="2" s="1"/>
  <c r="K5" i="2"/>
  <c r="J5" i="2"/>
  <c r="D3" i="2"/>
  <c r="C80" i="1"/>
  <c r="F79" i="1"/>
  <c r="E79" i="1"/>
  <c r="D79" i="1"/>
  <c r="F78" i="1"/>
  <c r="E78" i="1"/>
  <c r="F77" i="1"/>
  <c r="E77" i="1"/>
  <c r="F76" i="1"/>
  <c r="E76" i="1"/>
  <c r="F75" i="1"/>
  <c r="E75" i="1"/>
  <c r="F74" i="1"/>
  <c r="E74" i="1"/>
  <c r="D74" i="1"/>
  <c r="E73" i="1"/>
  <c r="E80" i="1" s="1"/>
  <c r="D73" i="1"/>
  <c r="P39" i="3" l="1"/>
  <c r="F73" i="1"/>
  <c r="F80" i="1" s="1"/>
  <c r="L36" i="3"/>
  <c r="E9" i="1" s="1"/>
  <c r="L37" i="3"/>
  <c r="E10" i="1" s="1"/>
  <c r="P39" i="2"/>
  <c r="D75" i="1"/>
  <c r="D80" i="1" s="1"/>
  <c r="E12" i="1"/>
</calcChain>
</file>

<file path=xl/sharedStrings.xml><?xml version="1.0" encoding="utf-8"?>
<sst xmlns="http://schemas.openxmlformats.org/spreadsheetml/2006/main" count="366" uniqueCount="169">
  <si>
    <t>Ranking Tool</t>
  </si>
  <si>
    <t>Criteria Area</t>
  </si>
  <si>
    <t>Climate Smart Rice</t>
  </si>
  <si>
    <t>Shrimp</t>
  </si>
  <si>
    <t>Banana</t>
  </si>
  <si>
    <t xml:space="preserve">Economic Potential </t>
  </si>
  <si>
    <t xml:space="preserve">Pro-Poor Potential </t>
  </si>
  <si>
    <t xml:space="preserve">Green Growth Potential </t>
  </si>
  <si>
    <t xml:space="preserve">Systemic Change Potential </t>
  </si>
  <si>
    <t>PWD Opportunities</t>
  </si>
  <si>
    <t>WEE Opportunitiies</t>
  </si>
  <si>
    <t xml:space="preserve">Quick Win Potential </t>
  </si>
  <si>
    <t>Total Score</t>
  </si>
  <si>
    <t xml:space="preserve">Table 11. Weighted Score Against BASIN Criteria
</t>
  </si>
  <si>
    <t>Total Points Available</t>
  </si>
  <si>
    <t>Premium Rice</t>
  </si>
  <si>
    <t>Bananas</t>
  </si>
  <si>
    <t xml:space="preserve">Total Score </t>
  </si>
  <si>
    <t xml:space="preserve">INSTRUCTIONS: Researchers complete each box in green to indicate the engagement level of achievement against the following criteria. Please mark 3=High; 2=Medium; and 1=Low.  </t>
  </si>
  <si>
    <t>Score (1=low; 2=medium; 3=high)</t>
  </si>
  <si>
    <t>Weight</t>
  </si>
  <si>
    <t>Weighted Score</t>
  </si>
  <si>
    <t xml:space="preserve">Explanation </t>
  </si>
  <si>
    <t>Market demand in domestic market</t>
  </si>
  <si>
    <t>Rice remains the staple food across Vietnam, and demand is consistent even during price fluctuations. Ecological and organic rice from the Mekong (e.g., ST25, ST24) is increasingly marketed to urban consumers in Hanoi and Ho Chi Minh City, where safety and branding drive price premiums</t>
  </si>
  <si>
    <t xml:space="preserve">Scope to address barriers to promote persons with disability employment or entrepreneurship </t>
  </si>
  <si>
    <t>No evidence of targeted interventions for PWD inclusion in rice value chain</t>
  </si>
  <si>
    <t>Opportunities for employment creation or income generation</t>
  </si>
  <si>
    <t>Mechanization has reduced on-farm labor demand, but cooperatives still create jobs in milling, seed production, and post-harvest handling. CSA demonstrations (alternate wetting/drying, 1M5R) also require farmer training and service provision, creating new forms of employment around input supply and technical services</t>
  </si>
  <si>
    <t xml:space="preserve">Women and men with a disability have or can acquire skills required to engage in the value chain </t>
  </si>
  <si>
    <t xml:space="preserve">Skills training for PWD in rice is possible in processing roles but not documented </t>
  </si>
  <si>
    <t>Profitability for target HHs</t>
  </si>
  <si>
    <t>Conventional triple-rice systems show diminishing returns due to soil degradation and higher fertilizer costs. In contrast, organic and ecological systems (rice-lotus, rice-shrimp) increase farmer income by 6–10 million VND/ha compared to conventional practices</t>
  </si>
  <si>
    <t>Low entry barriers for persons with disability (e.g. value addition opportunities that do not have barriers for persons with a physical disability), social acceptance, low start-up costs, etc.)</t>
  </si>
  <si>
    <t>Rice farming involves physical labor and land, limiting low-barrier entry for PWD  except in processing roles</t>
  </si>
  <si>
    <t>Market demand for export market</t>
  </si>
  <si>
    <t>While rice exports represent ~70% of national output from the Delta, markets are shifting toward higher-quality, low-emission varieties. ST25 rice has won global awards, creating export momentum, but climate risks (salinity, erratic floods) undermine stable supply</t>
  </si>
  <si>
    <t xml:space="preserve">Business interest or co-investment opportunity in working with target demographic </t>
  </si>
  <si>
    <t>No clear private investment interest in disability-focused rice models (field notes).</t>
  </si>
  <si>
    <t xml:space="preserve">Strong potential for returns on investment for local or international investors </t>
  </si>
  <si>
    <t>Buyers in both domestic and export markets already pay 3–5% premiums for climate-smart and low-emission rice. However, risks from climate shocks and contract instability (farmers breaking agreements when prices spike) mean that ROI is not guaranteed without stronger cooperative governance and traceability systems</t>
  </si>
  <si>
    <t>Opportunity to collaborate or build upon existing efforts in area</t>
  </si>
  <si>
    <t>No existing initiatives for PWD in rice identified (field notes).</t>
  </si>
  <si>
    <t xml:space="preserve">Total </t>
  </si>
  <si>
    <t>Market systems have opportunities for people living in poverty/systemic barriers that the project can influence.</t>
  </si>
  <si>
    <t>Ecological rice-shrimp and rice-lotus systems directly target poorer farmers because they require fewer chemical inputs and reduce risk from climate shocks. However, smallholders still face systemic barriers around credit and traceability — without certification or buyer links, they remain reliant on middlemen</t>
  </si>
  <si>
    <t>Market systems have opportunities for women/systemic barriers that the project can influence (considering gender classification)</t>
  </si>
  <si>
    <t>Women participate in planting, harvesting, and cooperative activities, but systemic barriers in land ownership persist</t>
  </si>
  <si>
    <t>Low entry barriers for target poverty groups</t>
  </si>
  <si>
    <t>Improved seed varieties and CSA practices are technically affordable, but poorer households often lack upfront cash or access to quality inputs. Financial institutions exist (VBSP and banks for the poor), but vulnerable households frequently resort to low-quality seed or fertilizer, undermining outcomes</t>
  </si>
  <si>
    <t>High share of women employed in the value chain (scale of outreach)</t>
  </si>
  <si>
    <t>Female labor is significant in rice cooperatives, though less visible in leadership or marketing roles</t>
  </si>
  <si>
    <t>High share of target households already working in the value chain or interested in the value chain (scale of outreach</t>
  </si>
  <si>
    <t>Rice is grown by the majority of rural households in An Giang and across the Delta, often in cooperative structures. Even in shrimp-rice zones, households plant at least one rice crop per year, ensuring very high outreach scale</t>
  </si>
  <si>
    <t>Low entry barriers for women (including with women with a disability, ethnic minority women)</t>
  </si>
  <si>
    <t xml:space="preserve">Tasks like planting and post-harvest involve women, making entry relatively accessible despite cultural barriers </t>
  </si>
  <si>
    <t>Impact at scale - able to reach large number of people</t>
  </si>
  <si>
    <t>With ~18 million people in the Delta depending on rice, the outreach potential is wide. Moreover, urban consumers in Hanoi and HCMC are increasingly demanding safe and organic rice, linking smallholder production with broader market trends</t>
  </si>
  <si>
    <t>Women control equipment/assets/resources required to participate.</t>
  </si>
  <si>
    <t>Land and assets (e.g., irrigation) remain mostly under male control, limiting women’s ownership</t>
  </si>
  <si>
    <t>Transformative impact - clear and measurable pathways out of poverty</t>
  </si>
  <si>
    <t>Income gains from organic and rice-shrimp systems are modest (6–10M VND/ha), but provide sustainability pathways</t>
  </si>
  <si>
    <t>Increased incomes and agency potential for women in target communities</t>
  </si>
  <si>
    <t>Cooperative participation offers women modest increases in income and decision-making agency</t>
  </si>
  <si>
    <t>Total</t>
  </si>
  <si>
    <t>Risk Perspective: Current level of resilience of the value chain to environmental factors and effects of climate change</t>
  </si>
  <si>
    <t>Triple-rice farming under high-dike systems interrupts natural flooding, which once replenished sediment and fertility. This has increased reliance on fertilizers, raised production costs, and degraded soil and water quality, leaving farmers highly vulnerable to droughts, salinity intrusion, and erratic rainfall</t>
  </si>
  <si>
    <t xml:space="preserve">Systemic barriers/opportunities for target groups can be addressed in a shorter time frame </t>
  </si>
  <si>
    <t>Farmers identified that access to improved practices (like CSA techniques) and cooperative strengthening are immediate needs. These barriers could be tackled relatively quickly, since training and organizational support can be delivered within 12–18 months, though scaling to all households would take longer</t>
  </si>
  <si>
    <t>Prospects for improving the resilience of the value chain to environmental factors and effects of climate change</t>
  </si>
  <si>
    <t>CSA practices like AWD (Alternate Wetting and Drying), 1M5R (one must, five reductions), and salt-tolerant varieties (e.g., ST24, ST25) have shown concrete results in reducing water use, methane emissions, and yield losses. Cooperatives piloting these methods reported significant uptake when paired with training and small incentives</t>
  </si>
  <si>
    <t>There are interested market actors in solving the systemic barriers and/or capitalising on opportunities</t>
  </si>
  <si>
    <t>Companies like Tunlong and A An were cited as active buyers seeking ecological rice. This demonstrates that private buyers are already signaling demand for premium rice, creating clear opportunities to link farmers directly with markets</t>
  </si>
  <si>
    <t xml:space="preserve">Negative impact perspective: Current impact of the value chain on the environment
</t>
  </si>
  <si>
    <t>Conventional intensive rice emits methane and causes fertilizer runoff, contributing to greenhouse gas emissions and water pollution. Overuse of pesticides is also linked to health risks for farmers and declining biodiversity in the Delta</t>
  </si>
  <si>
    <t>Current work being undertaken in the area (existing World Vision and other projects, relationships with market actors etc.)</t>
  </si>
  <si>
    <t>Field notes emphasize existing donor and NGO activities in the Mekong Delta on ecological farming, traceability, and certification. These provide a foundation that World Vision could build on, avoiding the need to start from scratch</t>
  </si>
  <si>
    <t>Prospects for the commodity/ VC to restore environment or mitigate climate change</t>
  </si>
  <si>
    <t>Ecological farming systems such as rice–lotus or rice–shrimp rotations restore biodiversity by integrating aquatic species and reducing chemical inputs. Organic rice systems have been shown to improve soil fertility and water quality, while diversifying farmer income sources</t>
  </si>
  <si>
    <t>Specific VC partners are readily engaging with INGOs and others to address complex challenges related to BASIN</t>
  </si>
  <si>
    <t>Cooperatives are already working with NGOs and external actors, but their limited capacity weakens coordination and contract enforcement. Strengthening their role was seen as essential for farmers to reduce reliance on middlemen</t>
  </si>
  <si>
    <t>Clean business interest to take green growth approach for private sector actors</t>
  </si>
  <si>
    <t>Cooperatives adopting low-emission or premium rice varieties are attracting buyers willing to pay a 3–5% premium. Companies interested in sustainable branding see rice as part of their green transformation goals, though scale-up still depends on stronger traceability and certification systems</t>
  </si>
  <si>
    <t>Existing and open platform to coordinate and manage a collective impact approach to a socioecomomic challenge</t>
  </si>
  <si>
    <t>cooperative unions, if better organized, could negotiate directly with buyers like Tunlong. This shows that platforms exist but need capacity building to truly function as collective action mechanisms</t>
  </si>
  <si>
    <t>Summary: Criteria Area</t>
  </si>
  <si>
    <t>WV Criteria</t>
  </si>
  <si>
    <t xml:space="preserve">MSD Tool Score </t>
  </si>
  <si>
    <t>Co-investment (govt) Evidence of support to the value chain from the government and/or donors (e.g., having plans for investment, promotion policies and regulations are in place and effective)</t>
  </si>
  <si>
    <t>Farmers and cooperatives directly referenced Resolution 120’s role in supporting rice diversification and ecological farming in the Mekong Delta. The notes highlight that both government and donors are backing CSA pilots and cooperative strengthening, signaling strong institutional support</t>
  </si>
  <si>
    <t>Co-investment - Availability and willingness of private market actors to invest in the value chain</t>
  </si>
  <si>
    <t>Local companies like Tunlong and A An were mentioned as active in contracting farmers and expressing demand for ecological rice. However, interviews also flagged that contract farming often breaks down when prices fluctuate, showing that while private interest exists, long-term investment is still fragile</t>
  </si>
  <si>
    <t xml:space="preserve">Market-based solution that can be sustained without the need of BASIN or other public-sector funding </t>
  </si>
  <si>
    <t>Cooperative strengthening was emphasized as a pathway for farmers to contract directly with buyers, reducing dependence on middlemen. The field notes stressed that without such cooperative capacity, interventions rely heavily on NGO facilitation</t>
  </si>
  <si>
    <t>Scalability that can grow and reach other end-users (beyond project intervention area and timeframe)</t>
  </si>
  <si>
    <t>The ecological rice–shrimp rotation is widespread in lowland areas due to salinity and water constraints. Farmers see this system as scalable because it aligns with natural conditions and provides both ecological and income benefits, making it relevant beyond the pilot communes</t>
  </si>
  <si>
    <t>Impact has potential to affect adjacent value chains and industries</t>
  </si>
  <si>
    <t>The rice–shrimp mix was specifically noted to have surprised the team by its ecological value. This model shows potential to influence aquaculture practices (by promoting ecological shrimp) and other crops that share water/soil systems</t>
  </si>
  <si>
    <t>Score (0= NA 1=low; 2=medium; 3=high)</t>
  </si>
  <si>
    <t>Bananas are consumed widely in Vietnam, but the specific local varieties grown in saline and freshwater-scarce areas are not favored in premium domestic markets like Hanoi or Ho Chi Minh City. Instead, most bananas from An Giang and nearby areas are sold to Cambodia, where demand exists for these varieties</t>
  </si>
  <si>
    <t xml:space="preserve">No targeted programs exist for PWD inclusion in banana farming. Handicraft potential. </t>
  </si>
  <si>
    <t>Banana farming provides seasonal labor in cultivation and harvest, and women sometimes engage in post-harvest activities. Attempts to create handicrafts from banana trees have had limited success locally, but in Northern Vietnam companies export banana-based handicrafts to Europe, the US, and Japan, suggesting untapped opportunities if quality and design standards can be met</t>
  </si>
  <si>
    <t>Possible but skill training for PWD in banana sector not identified in research</t>
  </si>
  <si>
    <t>Farmers face modest profits; without proper post-harvest management (especially for banana flower, which must be submerged in water to avoid spoilage), losses are common. While there is some demand for banana flour/banana flower in urban markets, the processing is mostly centralized in Ho Chi Minh City rather than locally, which limits rural producer margins</t>
  </si>
  <si>
    <t>Banana cultivation requires land access, physical labor for planting/harvesting, and sometimes heavy handling of banana flower. These factors raise entry barriers for people with physical disabilities. There is little evidence of alternative value-addition niches (e.g., handicraft work) being adapted to PWD needs locally</t>
  </si>
  <si>
    <t>Cambodia is currently the main export market, but this is not a reliable long-term opportunity since Cambodia can produce its own bananas. Regional buyers in Vietnam’s urban centers do purchase banana flower at high prices, but the market is niche, fresh-only, and logistics-sensitive</t>
  </si>
  <si>
    <t>No buyers, processors, or handicraft firms reported interest in disability-specific banana initiatives. Unlike shrimp processing (where some factory lines may offer lower-barrier jobs), banana currently has no such targeted business models</t>
  </si>
  <si>
    <t>Returns on investment are possible, particularly with products like banana flower and handicrafts, but depend heavily on overcoming constraints like weak logistics, lack of traceability, and inconsistent product quality. Previous attempts with handicrafts and flour struggled because cooperatives and producers lacked direct buyer connections and reliable contracts, making ROI unpredictable and often low</t>
  </si>
  <si>
    <t xml:space="preserve">There are no existing disability-focused agricultural programs in the banana sector to build upon. This contrasts with other chains like vegetables, where some NGOs have piloted inclusive livelihood models. For bananas, inclusion would require new program design from scratch. </t>
  </si>
  <si>
    <t>Poor farmers grow bananas, but systemic barriers like lack of finance and market access constrain income.</t>
  </si>
  <si>
    <t xml:space="preserve">Women can participate in banana production, though systemic barriers in land and markets remain </t>
  </si>
  <si>
    <t>Basic inputs and skills keep entry barriers low, but returns are modest without cooperative support.</t>
  </si>
  <si>
    <t xml:space="preserve">Some women engage in farm and post-harvest roles, but overall share is modest compared to other crops </t>
  </si>
  <si>
    <t>Bananas are grown by many HHs, but mostly fragmented small plots limit outreach scale.</t>
  </si>
  <si>
    <t xml:space="preserve">Cultivation skills are basic, so women (including ethnic minorities) can enter with few barriers </t>
  </si>
  <si>
    <t>Banana cultivation is common but lacks aggregation or strong demand pull, limiting impact at scale.</t>
  </si>
  <si>
    <t xml:space="preserve">Land and equipment ownership is mostly male-dominated, limiting women’s control </t>
  </si>
  <si>
    <t>Banana rarely creates transformative poverty exits; incomes are supplementary, not life-changing.</t>
  </si>
  <si>
    <t xml:space="preserve">Banana provides supplementary income that may increase women’s agency modestly </t>
  </si>
  <si>
    <t>Bananas can be grown multiple times per year and tolerate some climate variability, but in the saline and freshwater-scarce zones they are stressed and prone to disease outbreaks. Farmers noted that pests and fungal diseases are increasingly a problem in these areas</t>
  </si>
  <si>
    <t>Post-harvest handling (especially preventing banana flower from spoiling) is a clear short-term fix, as training and low-cost techniques already exist. Improving cooperative-level washing, storage, and transport could immediately reduce losses</t>
  </si>
  <si>
    <t>There is recognition that using improved varieties and GAP (Good Agricultural Practices) could stabilize yields, but adoption is slow because smallholders lack financing and extension support. Where GAP training has been piloted, farmers reduced losses and improved quality, but scale remains limited</t>
  </si>
  <si>
    <t>Although small, there is genuine demand from Cambodian traders and some HCMC buyers for banana flower and raw bananas. These actors are interested in volume and quality improvements, but not yet in investing in logistics or certification. However, this could hurt banana producers in Cambodia as they struggle to compete on the market with products from Vietnam and Thailand in general.</t>
  </si>
  <si>
    <t>Farmers often overuse fertilizers and pesticides because of limited access to training, which increases costs and degrades soil. This makes banana production less sustainable and more vulnerable over time (similar to the “low profitability” dynamic seen for rice)</t>
  </si>
  <si>
    <t>Fruit export programs (mango, dragon fruit) supported by donors and NGOs have built platforms (e.g., on traceability and GAP training) that banana farmers could “piggyback” on. However, bananas have not been the focus of such programs to date</t>
  </si>
  <si>
    <t>There are precedents in Northern Vietnam where banana by-products are used for handicrafts and GAP-certified bananas target premium markets in Europe, the US, and Japan. These show potential environmental co-benefits (waste reuse, reduced chemicals), but in An Giang and the saline areas, cooperatives are too weak to meet certification requirements</t>
  </si>
  <si>
    <t>Some cooperatives and traders are open to working with NGOs, but coordination is weak. Past attempts at cooperative upgrading (e.g., handicrafts, flour) faltered because middlemen relationships remained dominant and contracts were unreliable</t>
  </si>
  <si>
    <t>There is some niche interest in banana flower and handicrafts from buyers in Ho Chi Minh City and abroad, but investment is fragmented and small compared to other fruits like mango. Previous handicraft projects collapsed because producers lacked direct contracts and consistent volumes</t>
  </si>
  <si>
    <t>xport platforms created for other fruits (e.g., traceability portals, cooperative networks) could be extended to banana without starting from scratch. The challenge is ensuring consistent supply and quality, as current banana markets are fragmented</t>
  </si>
  <si>
    <t>While Vietnam’s government promotes fruit exports generally, interviews confirmed that bananas do not receive the same level of targeted support or branding as higher-value chains like mango or dragon fruit. In saline/freshwater-stressed zones, bananas are more of a fallback crop, so provincial investment is limited</t>
  </si>
  <si>
    <t>Traders do buy bananas for sale to Cambodia and HCMC, but they operate on a small, opportunistic scale without significant investment in cold chain or processing. Unlike mangoes, there are few anchor firms offering long-term contracts or input support.</t>
  </si>
  <si>
    <t>Cooperatives and households often depend on NGO facilitation or ad hoc donor programs (e.g., handicraft pilots, banana flour promotion). Without these, producers revert to selling raw bananas to middlemen, which limits sustainability of interventions</t>
  </si>
  <si>
    <t>The crop can grow across the Mekong and into northern provinces, but poor logistics and weak aggregation systems prevent scaling into premium export markets. As noted, bananas from saline areas are not suitable for Japan and higher-value buyers, constraining scale to lower-value outlets</t>
  </si>
  <si>
    <t>Upgrades in banana logistics, such as better cold storage or traceability systems, could directly benefit other fruit chains. For example, investments in aggregation for banana flour or flowers could be repurposed for mango or dragon fruit once supply chains mature.</t>
  </si>
  <si>
    <t>Shrimp produced in the project area is small and natural, making it less competitive in export markets. However, it is valued in large domestic cities like Hanoi and Ho Chi Minh City, where consumers pay a premium for ecological and safe products</t>
  </si>
  <si>
    <t>While no programs explicitly target persons with disabilities (PWD) in shrimp farming, the presence of small household-based shrimp processing facilities suggests an entry point. Processing involves tasks like cleaning, steaming, and sorting, which could potentially be adapted for PWD inclusion</t>
  </si>
  <si>
    <t>Shrimp farming is labor-intensive and creates household-level income opportunities, while women are heavily engaged in shrimp processing. Small household-based processing facilities already exist, and with cooperative models, better equipment could expand jobs and raise earnings</t>
  </si>
  <si>
    <t>Processing requires practical, task-specific skills rather than heavy physical labor, making it more accessible. With appropriate training, women and men with disabilities could acquire these skills and participate in local processing groups</t>
  </si>
  <si>
    <t>Profits depend heavily on production system. Naturally grown shrimp in rice–shrimp rotations generate income but are smaller and fetch lower prices, while intensified systems can increase profit but carry high risks of disease and input costs. Farmers with limited credit sometimes buy poor-quality larvae, leading to losses</t>
  </si>
  <si>
    <t>Compared to pond farming, processing has lower capital requirements and could offer opportunities for PWD, particularly in cooperative-based models where tasks can be tailored.</t>
  </si>
  <si>
    <t>The shrimp produced in this area is generally too small for high-value export markets compared to intensified systems elsewhere. Buyers like Kamal and Baklio purchase shrimp, but mainly for domestic or lower-value markets, showing that export potential is constrained</t>
  </si>
  <si>
    <t>At present, there’s no sign of private sector or cooperative investment specifically focused on disability inclusion in shrimp processing. Interest is centered on expanding processing capacity more generally</t>
  </si>
  <si>
    <t>Investment opportunities exist, but risks are significant due to fluctuating market prices, disease, and contract instability. While there is potential in processing and ecological branding, investment appetite is cautious without stronger cooperative capacity and traceability systems</t>
  </si>
  <si>
    <t>If cooperatives are strengthened (as discussed in the notes), there is room to design inclusive processing models that involve PWD.</t>
  </si>
  <si>
    <t>Shrimp is a key livelihood in the region, but vulnerable households face systemic barriers like lack of credit and reliance on middlemen. Farmers often break contracts when prices rise, while companies break them when prices fall, making markets unstable and limiting poor farmers’ bargaining power</t>
  </si>
  <si>
    <t>Women face systemic barriers in shrimp farming due to cultural norms and superstitions. Some communities hold the belief that women entering shrimp ponds bring bad luck, which restricts their direct involvement in production. However, women play a critical role in processing, where these taboos do not apply, offering a clear point of entry that programs like BASIN could influence</t>
  </si>
  <si>
    <t>Entry requires ponds, seed, and feed, which are costly for the poorest households. Some support exists through banks for the poor, but limited capital often forces vulnerable farmers to buy poor-quality shrimp larvae, increasing risks of failure</t>
  </si>
  <si>
    <t>Women are heavily employed in shrimp processing, especially in steaming, cleaning, and sorting, which require significant labor. This indicates broad outreach potential, though concentrated in processing rather than production</t>
  </si>
  <si>
    <t>A large number of rural households in the lowland areas engage in shrimp–rice rotations. This makes shrimp one of the main value chains already practiced by target households, ensuring broad relevance for outreach</t>
  </si>
  <si>
    <t>Processing tasks require practical skills that are easily transferable and do not demand significant capital, making them accessible to women, including ethnic minority women. However, entry into farming itself is constrained by both superstition and land/asset access</t>
  </si>
  <si>
    <t>Given shrimp’s importance in the Delta, interventions can reach a large population. Scaling ecological shrimp production could create widespread benefits in both income and environmental resilience</t>
  </si>
  <si>
    <t>Women rarely control ponds, land, or the larger equipment needed for shrimp farming. Ownership and decision-making power remain male-dominated, limiting women’s influence over the most profitable parts of the chain</t>
  </si>
  <si>
    <t>Successful shrimp farmers can achieve higher incomes, especially when linked to ecological branding for urban consumers. However, disease outbreaks and contract instability often push households back into debt, limiting clear and consistent pathways out of poverty</t>
  </si>
  <si>
    <t>Processing provides women with supplemental income and strengthens their role in household livelihoods. With cooperative strengthening and fairer contracts, women could see expanded income opportunities and greater agency in community decision-making</t>
  </si>
  <si>
    <t>Shrimp production in the project area is highly vulnerable to salinity intrusion, freshwater shortages, and disease outbreaks. Natural shrimp grown in rice–shrimp systems are small and less competitive, but they align better with ecological conditions than intensified farming, which has proven riskier</t>
  </si>
  <si>
    <t>Shrimp farmers face clear, addressable barriers such as access to quality larvae, credit, and reliable contracts. BASIN could realistically work within 12–18 months to improve cooperative management, farmer–buyer links, and basic processing facilities, all of which were highlighted as weak points</t>
  </si>
  <si>
    <t>Rice–shrimp rotations make better use of low-lying, saline-prone land, reducing vulnerability and aligning with ecological farming. These systems produce “natural” shrimp and rice that urban consumers perceive as safer, suggesting resilience and market value can be strengthened if better organized</t>
  </si>
  <si>
    <t>Buyers such as Kamal and Baklio are already purchasing shrimp, and companies like Tunlong (in rice–shrimp integration) have shown willingness to pay premiums for ecological products. Monterray Bay open to leveraging their international buyer relationships like Wal Mart. This suggests that there are market actors ready to engage if BASIN helps de-risk supply</t>
  </si>
  <si>
    <t>Intensified shrimp farming elsewhere in the Delta has caused water pollution and overuse of poor-quality inputs. Even in the field area, limited access to good larvae and credit pushes farmers into risky practices that undermine both environmental quality and productivity</t>
  </si>
  <si>
    <t>The notes show that World Vision and other actors have already been working in the region on ecological production and cooperative strengthening. BASIN could plug into these initiatives instead of starting from scratch, ensuring continuity and faster results</t>
  </si>
  <si>
    <t>Ecological shrimp production, especially in rotation with rice, contributes positively by using natural flood regimes and lowering chemical input use. This system surprised the  team with its ecological value and potential to support climate change mitigation strategies</t>
  </si>
  <si>
    <t xml:space="preserve">Specific VC partners are readily engaging with INGOs and others to address complex challenges related to BASIN. Monterray Bay could help too. </t>
  </si>
  <si>
    <t>While not yet mainstream, there is demand from domestic consumers in major cities like Hanoi and Ho Chi Minh City for ecologically grown shrimp. Buyers are willing to pay premiums for products marketed as natural or safe, suggesting opportunities for clean growth if traceability and cooperative structures are strengthened</t>
  </si>
  <si>
    <t>Cooperative unions and ecological rice–shrimp systems already act as informal coordination platforms. BASIN could formalize these into collective impact structures, linking farmers, buyers, and technical actors under a shared sustainability and market-driven agenda</t>
  </si>
  <si>
    <t>The Department of Agriculture and Rural Development (DARD) provides technical support to shrimp farmers and some small pilots. However, there is no evidence of a large-scale Green Food Program (GFP) or broad provincial investment in sustainable shrimp. Current support is piecemeal and not yet at the level of systemic transformatio</t>
  </si>
  <si>
    <t xml:space="preserve"> buyers exist (e.g., Kamal, Baklio) and urban demand for ecological shrimp is real, but few private firms are making large-scale investments in scaling sustainable shrimp systems. Partnerships with actors like Fresh Studio or Monterey Bay Aquarium are intrested in co-investment and partnership opportunities. </t>
  </si>
  <si>
    <t>Local markets in big cities (Hanoi, Ho Chi Minh City) sustain demand for naturally grown shrimp when marketed as ecological or safe. However, systems for certification, traceability, and export standards are absent in the field area, meaning that long-term sustainability still depends on NGO or donor facilitation</t>
  </si>
  <si>
    <t>Eological rice–shrimp systems are widely practiced in the low-lying Delta and have natural scaling potential. Yet constraints like poor hatchery infrastructure and inconsistent seed quality limit expansion. Without stronger hatchery and certification systems, scaling will remain incremental</t>
  </si>
  <si>
    <t>The ecological rice–shrimp model does show influence on rice farming practices (e.g., reducing chemical inputs) and could inform integrated aquaculture approaches.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</si>
</sst>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x14ac:knownFonts="1">
    <font>
      <sz val="12"/>
      <color theme="1"/>
      <name val="Calibri"/>
      <scheme val="minor"/>
    </font>
    <font>
      <sz val="12"/>
      <color theme="1"/>
      <name val="Calibri"/>
    </font>
    <font>
      <sz val="24"/>
      <color rgb="FFFFFFFF"/>
      <name val="Calibri"/>
    </font>
    <font>
      <sz val="24"/>
      <color theme="0"/>
      <name val="Calibri"/>
    </font>
    <font>
      <sz val="24"/>
      <color theme="1"/>
      <name val="Calibri"/>
    </font>
    <font>
      <b/>
      <sz val="18"/>
      <color theme="0"/>
      <name val="Calibri"/>
    </font>
    <font>
      <b/>
      <sz val="18"/>
      <color rgb="FFFFFFFF"/>
      <name val="Calibri"/>
    </font>
    <font>
      <b/>
      <sz val="16"/>
      <color theme="1"/>
      <name val="Calibri"/>
    </font>
    <font>
      <sz val="12"/>
      <color theme="1"/>
      <name val="Calibri"/>
    </font>
    <font>
      <b/>
      <sz val="12"/>
      <color theme="1"/>
      <name val="Calibri"/>
    </font>
    <font>
      <b/>
      <sz val="12"/>
      <color rgb="FFFFFFFF"/>
      <name val="Calibri"/>
    </font>
    <font>
      <u/>
      <sz val="20"/>
      <color theme="1"/>
      <name val="Calibri"/>
    </font>
    <font>
      <b/>
      <sz val="20"/>
      <color theme="1"/>
      <name val="Calibri"/>
    </font>
    <font>
      <b/>
      <sz val="14"/>
      <color theme="1"/>
      <name val="Calibri"/>
    </font>
    <font>
      <sz val="12"/>
      <name val="Calibri"/>
    </font>
    <font>
      <b/>
      <sz val="12"/>
      <color theme="0"/>
      <name val="Calibri"/>
    </font>
    <font>
      <sz val="12"/>
      <color rgb="FF000000"/>
      <name val="Lato"/>
    </font>
    <font>
      <i/>
      <sz val="12"/>
      <color theme="1"/>
      <name val="Calibri"/>
    </font>
    <font>
      <b/>
      <sz val="11"/>
      <color rgb="FFFFFFFF"/>
      <name val="Calibri"/>
    </font>
    <font>
      <sz val="12"/>
      <color rgb="FFFFFFFF"/>
      <name val="Calibri"/>
    </font>
    <font>
      <sz val="12"/>
      <color rgb="FFFFFFFF"/>
      <name val="Calibri"/>
    </font>
    <font>
      <sz val="12"/>
      <color rgb="FF000000"/>
      <name val="Calibri"/>
    </font>
    <font>
      <i/>
      <sz val="12"/>
      <color theme="1"/>
      <name val="Calibri"/>
    </font>
  </fonts>
  <fills count="16">
    <fill>
      <patternFill patternType="none"/>
    </fill>
    <fill>
      <patternFill patternType="gray125"/>
    </fill>
    <fill>
      <patternFill patternType="solid">
        <fgColor theme="4"/>
        <bgColor theme="4"/>
      </patternFill>
    </fill>
    <fill>
      <patternFill patternType="solid">
        <fgColor rgb="FFD9E2F3"/>
        <bgColor rgb="FFD9E2F3"/>
      </patternFill>
    </fill>
    <fill>
      <patternFill patternType="solid">
        <fgColor rgb="FF4472C4"/>
        <bgColor rgb="FF4472C4"/>
      </patternFill>
    </fill>
    <fill>
      <patternFill patternType="solid">
        <fgColor rgb="FFFCE5CD"/>
        <bgColor rgb="FFFCE5CD"/>
      </patternFill>
    </fill>
    <fill>
      <patternFill patternType="solid">
        <fgColor rgb="FF00FF00"/>
        <bgColor rgb="FF00FF00"/>
      </patternFill>
    </fill>
    <fill>
      <patternFill patternType="solid">
        <fgColor theme="5"/>
        <bgColor theme="5"/>
      </patternFill>
    </fill>
    <fill>
      <patternFill patternType="solid">
        <fgColor theme="6"/>
        <bgColor theme="6"/>
      </patternFill>
    </fill>
    <fill>
      <patternFill patternType="solid">
        <fgColor theme="9"/>
        <bgColor theme="9"/>
      </patternFill>
    </fill>
    <fill>
      <patternFill patternType="solid">
        <fgColor rgb="FF351C75"/>
        <bgColor rgb="FF351C75"/>
      </patternFill>
    </fill>
    <fill>
      <patternFill patternType="solid">
        <fgColor rgb="FF073763"/>
        <bgColor rgb="FF073763"/>
      </patternFill>
    </fill>
    <fill>
      <patternFill patternType="solid">
        <fgColor rgb="FF44546A"/>
        <bgColor rgb="FF44546A"/>
      </patternFill>
    </fill>
    <fill>
      <patternFill patternType="solid">
        <fgColor rgb="FFE7E6E6"/>
        <bgColor rgb="FFE7E6E6"/>
      </patternFill>
    </fill>
    <fill>
      <patternFill patternType="solid">
        <fgColor rgb="FF6FA8DC"/>
        <bgColor rgb="FF6FA8DC"/>
      </patternFill>
    </fill>
    <fill>
      <patternFill patternType="solid">
        <fgColor rgb="FFFF9900"/>
        <bgColor rgb="FFFF9900"/>
      </patternFill>
    </fill>
  </fills>
  <borders count="56">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medium">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thin">
        <color rgb="FF000000"/>
      </left>
      <right style="thin">
        <color rgb="FF000000"/>
      </right>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bottom style="thin">
        <color rgb="FF000000"/>
      </bottom>
      <diagonal/>
    </border>
    <border>
      <left/>
      <right style="medium">
        <color rgb="FF000000"/>
      </right>
      <top/>
      <bottom style="thin">
        <color rgb="FF000000"/>
      </bottom>
      <diagonal/>
    </border>
    <border>
      <left style="thin">
        <color rgb="FF000000"/>
      </left>
      <right style="thin">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bottom/>
      <diagonal/>
    </border>
    <border>
      <left/>
      <right/>
      <top/>
      <bottom/>
      <diagonal/>
    </border>
    <border>
      <left/>
      <right style="medium">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152">
    <xf numFmtId="0" fontId="0" fillId="0" borderId="0" xfId="0"/>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2" fillId="2" borderId="5" xfId="0" applyFont="1" applyFill="1" applyBorder="1"/>
    <xf numFmtId="0" fontId="3" fillId="2" borderId="6" xfId="0" applyFont="1" applyFill="1" applyBorder="1"/>
    <xf numFmtId="0" fontId="4" fillId="0" borderId="0" xfId="0" applyFont="1"/>
    <xf numFmtId="0" fontId="1" fillId="0" borderId="7" xfId="0" applyFont="1" applyBorder="1"/>
    <xf numFmtId="0" fontId="1" fillId="0" borderId="4" xfId="0" applyFont="1" applyBorder="1" applyAlignment="1">
      <alignment wrapText="1"/>
    </xf>
    <xf numFmtId="0" fontId="5" fillId="2" borderId="8" xfId="0" applyFont="1" applyFill="1" applyBorder="1" applyAlignment="1">
      <alignment wrapText="1"/>
    </xf>
    <xf numFmtId="1" fontId="6" fillId="2" borderId="9" xfId="0" applyNumberFormat="1" applyFont="1" applyFill="1" applyBorder="1" applyAlignment="1">
      <alignment horizontal="center" vertical="center" wrapText="1"/>
    </xf>
    <xf numFmtId="0" fontId="6" fillId="2" borderId="10"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1" fillId="0" borderId="0" xfId="0" applyFont="1" applyAlignment="1">
      <alignment wrapText="1"/>
    </xf>
    <xf numFmtId="0" fontId="1" fillId="0" borderId="7" xfId="0" applyFont="1" applyBorder="1" applyAlignment="1">
      <alignment wrapText="1"/>
    </xf>
    <xf numFmtId="0" fontId="7" fillId="3" borderId="8" xfId="0" applyFont="1" applyFill="1" applyBorder="1"/>
    <xf numFmtId="1" fontId="1" fillId="0" borderId="0" xfId="0" applyNumberFormat="1" applyFont="1" applyAlignment="1">
      <alignment horizontal="center" vertical="center"/>
    </xf>
    <xf numFmtId="1" fontId="1" fillId="0" borderId="12" xfId="0" applyNumberFormat="1" applyFont="1" applyBorder="1" applyAlignment="1">
      <alignment horizontal="center" vertical="center"/>
    </xf>
    <xf numFmtId="0" fontId="1" fillId="0" borderId="0" xfId="0" applyFont="1"/>
    <xf numFmtId="1" fontId="1" fillId="0" borderId="13" xfId="0" applyNumberFormat="1" applyFont="1" applyBorder="1" applyAlignment="1">
      <alignment horizontal="center" vertical="center"/>
    </xf>
    <xf numFmtId="1" fontId="1" fillId="0" borderId="14" xfId="0" applyNumberFormat="1" applyFont="1" applyBorder="1" applyAlignment="1">
      <alignment horizontal="center" vertical="center"/>
    </xf>
    <xf numFmtId="0" fontId="8" fillId="0" borderId="8" xfId="0" applyFont="1" applyBorder="1"/>
    <xf numFmtId="1" fontId="9" fillId="0" borderId="15" xfId="0" applyNumberFormat="1" applyFont="1" applyBorder="1" applyAlignment="1">
      <alignment horizontal="right"/>
    </xf>
    <xf numFmtId="0" fontId="1" fillId="0" borderId="16" xfId="0" applyFont="1" applyBorder="1"/>
    <xf numFmtId="0" fontId="1" fillId="0" borderId="15" xfId="0" applyFont="1" applyBorder="1"/>
    <xf numFmtId="0" fontId="1" fillId="0" borderId="17" xfId="0" applyFont="1" applyBorder="1"/>
    <xf numFmtId="0" fontId="10" fillId="4" borderId="18" xfId="0" applyFont="1" applyFill="1" applyBorder="1" applyAlignment="1">
      <alignment wrapText="1"/>
    </xf>
    <xf numFmtId="0" fontId="10" fillId="4" borderId="19" xfId="0" applyFont="1" applyFill="1" applyBorder="1" applyAlignment="1">
      <alignment horizontal="center" wrapText="1"/>
    </xf>
    <xf numFmtId="0" fontId="10" fillId="4" borderId="9" xfId="0" applyFont="1" applyFill="1" applyBorder="1" applyAlignment="1">
      <alignment horizontal="center" wrapText="1"/>
    </xf>
    <xf numFmtId="0" fontId="10" fillId="4" borderId="10" xfId="0" applyFont="1" applyFill="1" applyBorder="1" applyAlignment="1">
      <alignment horizontal="center" wrapText="1"/>
    </xf>
    <xf numFmtId="0" fontId="10" fillId="4" borderId="11" xfId="0" applyFont="1" applyFill="1" applyBorder="1" applyAlignment="1">
      <alignment horizontal="center" wrapText="1"/>
    </xf>
    <xf numFmtId="0" fontId="9" fillId="3" borderId="20" xfId="0" applyFont="1" applyFill="1" applyBorder="1"/>
    <xf numFmtId="1" fontId="1" fillId="0" borderId="0" xfId="0" applyNumberFormat="1" applyFont="1" applyAlignment="1">
      <alignment horizontal="center"/>
    </xf>
    <xf numFmtId="1" fontId="1" fillId="0" borderId="12" xfId="0" applyNumberFormat="1" applyFont="1" applyBorder="1" applyAlignment="1">
      <alignment horizontal="center"/>
    </xf>
    <xf numFmtId="0" fontId="9" fillId="3" borderId="21" xfId="0" applyFont="1" applyFill="1" applyBorder="1"/>
    <xf numFmtId="1" fontId="1" fillId="5" borderId="22" xfId="0" applyNumberFormat="1" applyFont="1" applyFill="1" applyBorder="1" applyAlignment="1">
      <alignment horizontal="center"/>
    </xf>
    <xf numFmtId="0" fontId="1" fillId="0" borderId="0" xfId="0" applyFont="1" applyAlignment="1">
      <alignment horizontal="left" vertical="center" wrapText="1"/>
    </xf>
    <xf numFmtId="0" fontId="11" fillId="0" borderId="0" xfId="0" applyFont="1" applyAlignment="1">
      <alignment horizontal="left" vertical="center" wrapText="1"/>
    </xf>
    <xf numFmtId="0" fontId="1" fillId="0" borderId="0" xfId="0" applyFont="1" applyAlignment="1">
      <alignment horizontal="left" vertical="center"/>
    </xf>
    <xf numFmtId="2" fontId="9" fillId="0" borderId="0" xfId="0" applyNumberFormat="1" applyFont="1" applyAlignment="1">
      <alignment horizontal="left" vertical="center" wrapText="1"/>
    </xf>
    <xf numFmtId="0" fontId="9" fillId="0" borderId="0" xfId="0" applyFont="1" applyAlignment="1">
      <alignment horizontal="left" vertical="center" wrapText="1"/>
    </xf>
    <xf numFmtId="0" fontId="15" fillId="7" borderId="24" xfId="0" applyFont="1" applyFill="1" applyBorder="1" applyAlignment="1">
      <alignment horizontal="left" vertical="center" wrapText="1"/>
    </xf>
    <xf numFmtId="0" fontId="10" fillId="7" borderId="10" xfId="0" applyFont="1" applyFill="1" applyBorder="1" applyAlignment="1">
      <alignment horizontal="left" vertical="center" wrapText="1"/>
    </xf>
    <xf numFmtId="0" fontId="15" fillId="7" borderId="10" xfId="0" applyFont="1" applyFill="1" applyBorder="1" applyAlignment="1">
      <alignment horizontal="left" vertical="center" wrapText="1"/>
    </xf>
    <xf numFmtId="0" fontId="15" fillId="7" borderId="25" xfId="0" applyFont="1" applyFill="1" applyBorder="1" applyAlignment="1">
      <alignment horizontal="left" vertical="center" wrapText="1"/>
    </xf>
    <xf numFmtId="0" fontId="15" fillId="7" borderId="11" xfId="0" applyFont="1" applyFill="1" applyBorder="1" applyAlignment="1">
      <alignment horizontal="left" vertical="center" wrapText="1"/>
    </xf>
    <xf numFmtId="0" fontId="10" fillId="8" borderId="26" xfId="0" applyFont="1" applyFill="1" applyBorder="1" applyAlignment="1">
      <alignment horizontal="left" vertical="center" wrapText="1"/>
    </xf>
    <xf numFmtId="0" fontId="10" fillId="8" borderId="27" xfId="0" applyFont="1" applyFill="1" applyBorder="1" applyAlignment="1">
      <alignment horizontal="left" vertical="center" wrapText="1"/>
    </xf>
    <xf numFmtId="0" fontId="15" fillId="8" borderId="27" xfId="0" applyFont="1" applyFill="1" applyBorder="1" applyAlignment="1">
      <alignment horizontal="left" vertical="center" wrapText="1"/>
    </xf>
    <xf numFmtId="0" fontId="15" fillId="8" borderId="28" xfId="0" applyFont="1" applyFill="1" applyBorder="1" applyAlignment="1">
      <alignment horizontal="left" vertical="center" wrapText="1"/>
    </xf>
    <xf numFmtId="0" fontId="15" fillId="8" borderId="29" xfId="0" applyFont="1" applyFill="1" applyBorder="1" applyAlignment="1">
      <alignment horizontal="left" vertical="center" wrapText="1"/>
    </xf>
    <xf numFmtId="0" fontId="16" fillId="0" borderId="20" xfId="0" applyFont="1" applyBorder="1"/>
    <xf numFmtId="3" fontId="1" fillId="6" borderId="0" xfId="0" applyNumberFormat="1" applyFont="1" applyFill="1" applyAlignment="1">
      <alignment horizontal="center" vertical="center" wrapText="1"/>
    </xf>
    <xf numFmtId="0" fontId="1" fillId="0" borderId="0" xfId="0" applyFont="1" applyAlignment="1">
      <alignment horizontal="center" vertical="center" wrapText="1"/>
    </xf>
    <xf numFmtId="1" fontId="1" fillId="0" borderId="18" xfId="0" applyNumberFormat="1" applyFont="1" applyBorder="1" applyAlignment="1">
      <alignment horizontal="center" vertical="center" wrapText="1"/>
    </xf>
    <xf numFmtId="49" fontId="17" fillId="0" borderId="12" xfId="0" applyNumberFormat="1" applyFont="1" applyBorder="1" applyAlignment="1">
      <alignment horizontal="left" vertical="top" wrapText="1"/>
    </xf>
    <xf numFmtId="0" fontId="1" fillId="0" borderId="0" xfId="0" applyFont="1" applyAlignment="1">
      <alignment horizontal="right" vertical="center" wrapText="1"/>
    </xf>
    <xf numFmtId="0" fontId="1" fillId="0" borderId="4" xfId="0" applyFont="1" applyBorder="1" applyAlignment="1">
      <alignment horizontal="left" vertical="center" wrapText="1"/>
    </xf>
    <xf numFmtId="49" fontId="17" fillId="0" borderId="7" xfId="0" applyNumberFormat="1" applyFont="1" applyBorder="1" applyAlignment="1">
      <alignment horizontal="left" vertical="top" wrapText="1"/>
    </xf>
    <xf numFmtId="1" fontId="1" fillId="0" borderId="30" xfId="0" applyNumberFormat="1" applyFont="1" applyBorder="1" applyAlignment="1">
      <alignment horizontal="center" vertical="center" wrapText="1"/>
    </xf>
    <xf numFmtId="0" fontId="1" fillId="0" borderId="20" xfId="0" applyFont="1" applyBorder="1" applyAlignment="1">
      <alignment horizontal="left" vertical="center" wrapText="1"/>
    </xf>
    <xf numFmtId="0" fontId="9" fillId="0" borderId="31" xfId="0" applyFont="1" applyBorder="1" applyAlignment="1">
      <alignment horizontal="left" vertical="center" wrapText="1"/>
    </xf>
    <xf numFmtId="0" fontId="9" fillId="0" borderId="32" xfId="0" applyFont="1" applyBorder="1" applyAlignment="1">
      <alignment horizontal="center" vertical="center" wrapText="1"/>
    </xf>
    <xf numFmtId="0" fontId="1" fillId="0" borderId="32" xfId="0" applyFont="1" applyBorder="1" applyAlignment="1">
      <alignment horizontal="center" vertical="center" wrapText="1"/>
    </xf>
    <xf numFmtId="164" fontId="1" fillId="0" borderId="33" xfId="0" applyNumberFormat="1" applyFont="1" applyBorder="1" applyAlignment="1">
      <alignment horizontal="center" vertical="center" wrapText="1"/>
    </xf>
    <xf numFmtId="49" fontId="17" fillId="0" borderId="34" xfId="0" applyNumberFormat="1" applyFont="1" applyBorder="1" applyAlignment="1">
      <alignment horizontal="left" vertical="top" wrapText="1"/>
    </xf>
    <xf numFmtId="0" fontId="9" fillId="0" borderId="35" xfId="0" applyFont="1" applyBorder="1" applyAlignment="1">
      <alignment horizontal="left" vertical="center" wrapText="1"/>
    </xf>
    <xf numFmtId="0" fontId="9" fillId="0" borderId="36" xfId="0" applyFont="1" applyBorder="1" applyAlignment="1">
      <alignment horizontal="center" vertical="center" wrapText="1"/>
    </xf>
    <xf numFmtId="0" fontId="1" fillId="0" borderId="36" xfId="0" applyFont="1" applyBorder="1" applyAlignment="1">
      <alignment horizontal="center" vertical="center" wrapText="1"/>
    </xf>
    <xf numFmtId="164" fontId="1" fillId="0" borderId="37" xfId="0" applyNumberFormat="1" applyFont="1" applyBorder="1" applyAlignment="1">
      <alignment horizontal="center" vertical="center" wrapText="1"/>
    </xf>
    <xf numFmtId="0" fontId="1" fillId="0" borderId="7" xfId="0" applyFont="1" applyBorder="1" applyAlignment="1">
      <alignment horizontal="left" vertical="center" wrapText="1"/>
    </xf>
    <xf numFmtId="0" fontId="15" fillId="2" borderId="24" xfId="0" applyFont="1" applyFill="1" applyBorder="1" applyAlignment="1">
      <alignment horizontal="left" vertical="center" wrapText="1"/>
    </xf>
    <xf numFmtId="0" fontId="10" fillId="2" borderId="10" xfId="0" applyFont="1" applyFill="1" applyBorder="1" applyAlignment="1">
      <alignment horizontal="left" vertical="center" wrapText="1"/>
    </xf>
    <xf numFmtId="0" fontId="15" fillId="2" borderId="10" xfId="0" applyFont="1" applyFill="1" applyBorder="1" applyAlignment="1">
      <alignment horizontal="left" vertical="center" wrapText="1"/>
    </xf>
    <xf numFmtId="0" fontId="15" fillId="2" borderId="25" xfId="0" applyFont="1" applyFill="1" applyBorder="1" applyAlignment="1">
      <alignment horizontal="left" vertical="center" wrapText="1"/>
    </xf>
    <xf numFmtId="0" fontId="15" fillId="2" borderId="11" xfId="0" applyFont="1" applyFill="1" applyBorder="1" applyAlignment="1">
      <alignment horizontal="left" vertical="center" wrapText="1"/>
    </xf>
    <xf numFmtId="0" fontId="10" fillId="9" borderId="26" xfId="0" applyFont="1" applyFill="1" applyBorder="1" applyAlignment="1">
      <alignment horizontal="left" vertical="center" wrapText="1"/>
    </xf>
    <xf numFmtId="0" fontId="10" fillId="9" borderId="27" xfId="0" applyFont="1" applyFill="1" applyBorder="1" applyAlignment="1">
      <alignment horizontal="left" vertical="center" wrapText="1"/>
    </xf>
    <xf numFmtId="0" fontId="15" fillId="9" borderId="27" xfId="0" applyFont="1" applyFill="1" applyBorder="1" applyAlignment="1">
      <alignment horizontal="left" vertical="center" wrapText="1"/>
    </xf>
    <xf numFmtId="0" fontId="15" fillId="9" borderId="28" xfId="0" applyFont="1" applyFill="1" applyBorder="1" applyAlignment="1">
      <alignment horizontal="left" vertical="center" wrapText="1"/>
    </xf>
    <xf numFmtId="0" fontId="15" fillId="9" borderId="29" xfId="0" applyFont="1" applyFill="1" applyBorder="1" applyAlignment="1">
      <alignment horizontal="left" vertical="center" wrapText="1"/>
    </xf>
    <xf numFmtId="3" fontId="1" fillId="0" borderId="0" xfId="0" applyNumberFormat="1" applyFont="1" applyAlignment="1">
      <alignment horizontal="center" vertical="center" wrapText="1"/>
    </xf>
    <xf numFmtId="3" fontId="1" fillId="0" borderId="7" xfId="0" applyNumberFormat="1" applyFont="1" applyBorder="1" applyAlignment="1">
      <alignment horizontal="center" vertical="center" wrapText="1"/>
    </xf>
    <xf numFmtId="0" fontId="1" fillId="0" borderId="38" xfId="0" applyFont="1" applyBorder="1" applyAlignment="1">
      <alignment horizontal="left" vertical="center" wrapText="1"/>
    </xf>
    <xf numFmtId="3" fontId="1" fillId="6" borderId="13" xfId="0" applyNumberFormat="1" applyFont="1" applyFill="1" applyBorder="1" applyAlignment="1">
      <alignment horizontal="center" vertical="center" wrapText="1"/>
    </xf>
    <xf numFmtId="3" fontId="1" fillId="0" borderId="13" xfId="0" applyNumberFormat="1" applyFont="1" applyBorder="1" applyAlignment="1">
      <alignment horizontal="center" vertical="center" wrapText="1"/>
    </xf>
    <xf numFmtId="3" fontId="1" fillId="0" borderId="39" xfId="0" applyNumberFormat="1" applyFont="1" applyBorder="1" applyAlignment="1">
      <alignment horizontal="center" vertical="center" wrapText="1"/>
    </xf>
    <xf numFmtId="3" fontId="9" fillId="0" borderId="0" xfId="0" applyNumberFormat="1" applyFont="1" applyAlignment="1">
      <alignment horizontal="center" vertical="center" wrapText="1"/>
    </xf>
    <xf numFmtId="0" fontId="9" fillId="0" borderId="1" xfId="0" applyFont="1" applyBorder="1" applyAlignment="1">
      <alignment horizontal="left" vertical="center" wrapText="1"/>
    </xf>
    <xf numFmtId="0" fontId="9" fillId="0" borderId="2" xfId="0" applyFont="1" applyBorder="1" applyAlignment="1">
      <alignment horizontal="center" vertical="center" wrapText="1"/>
    </xf>
    <xf numFmtId="0" fontId="1" fillId="0" borderId="2" xfId="0" applyFont="1" applyBorder="1" applyAlignment="1">
      <alignment horizontal="center" vertical="center" wrapText="1"/>
    </xf>
    <xf numFmtId="164" fontId="1" fillId="0" borderId="40" xfId="0" applyNumberFormat="1" applyFont="1" applyBorder="1" applyAlignment="1">
      <alignment horizontal="center" vertical="center" wrapText="1"/>
    </xf>
    <xf numFmtId="0" fontId="15" fillId="10" borderId="41" xfId="0" applyFont="1" applyFill="1" applyBorder="1" applyAlignment="1">
      <alignment horizontal="left" vertical="center" wrapText="1"/>
    </xf>
    <xf numFmtId="0" fontId="10" fillId="10" borderId="42" xfId="0" applyFont="1" applyFill="1" applyBorder="1" applyAlignment="1">
      <alignment horizontal="left" vertical="center" wrapText="1"/>
    </xf>
    <xf numFmtId="0" fontId="15" fillId="10" borderId="42" xfId="0" applyFont="1" applyFill="1" applyBorder="1" applyAlignment="1">
      <alignment horizontal="left" vertical="center" wrapText="1"/>
    </xf>
    <xf numFmtId="0" fontId="15" fillId="10" borderId="43" xfId="0" applyFont="1" applyFill="1" applyBorder="1" applyAlignment="1">
      <alignment horizontal="left" vertical="center" wrapText="1"/>
    </xf>
    <xf numFmtId="0" fontId="10" fillId="11" borderId="26" xfId="0" applyFont="1" applyFill="1" applyBorder="1" applyAlignment="1">
      <alignment horizontal="left" vertical="center" wrapText="1"/>
    </xf>
    <xf numFmtId="0" fontId="10" fillId="11" borderId="27" xfId="0" applyFont="1" applyFill="1" applyBorder="1" applyAlignment="1">
      <alignment horizontal="left" vertical="center" wrapText="1"/>
    </xf>
    <xf numFmtId="0" fontId="15" fillId="11" borderId="27" xfId="0" applyFont="1" applyFill="1" applyBorder="1" applyAlignment="1">
      <alignment horizontal="left" vertical="center" wrapText="1"/>
    </xf>
    <xf numFmtId="0" fontId="15" fillId="11" borderId="28" xfId="0" applyFont="1" applyFill="1" applyBorder="1" applyAlignment="1">
      <alignment horizontal="left" vertical="center" wrapText="1"/>
    </xf>
    <xf numFmtId="0" fontId="15" fillId="11" borderId="29" xfId="0" applyFont="1" applyFill="1" applyBorder="1" applyAlignment="1">
      <alignment horizontal="left" vertical="center" wrapText="1"/>
    </xf>
    <xf numFmtId="49" fontId="17" fillId="0" borderId="44" xfId="0" applyNumberFormat="1" applyFont="1" applyBorder="1" applyAlignment="1">
      <alignment horizontal="left" vertical="top" wrapText="1"/>
    </xf>
    <xf numFmtId="0" fontId="1" fillId="0" borderId="1" xfId="0" applyFont="1" applyBorder="1" applyAlignment="1">
      <alignment horizontal="left" vertical="center" wrapText="1"/>
    </xf>
    <xf numFmtId="3" fontId="9" fillId="0" borderId="2" xfId="0" applyNumberFormat="1" applyFont="1" applyBorder="1" applyAlignment="1">
      <alignment horizontal="center" vertical="center" wrapText="1"/>
    </xf>
    <xf numFmtId="3" fontId="1" fillId="0" borderId="2" xfId="0" applyNumberFormat="1" applyFont="1" applyBorder="1" applyAlignment="1">
      <alignment horizontal="center" vertical="center" wrapText="1"/>
    </xf>
    <xf numFmtId="49" fontId="17" fillId="0" borderId="3" xfId="0" applyNumberFormat="1" applyFont="1" applyBorder="1" applyAlignment="1">
      <alignment horizontal="left" vertical="top" wrapText="1"/>
    </xf>
    <xf numFmtId="0" fontId="15" fillId="0" borderId="0" xfId="0" applyFont="1" applyAlignment="1">
      <alignment horizontal="left" vertical="center" wrapText="1"/>
    </xf>
    <xf numFmtId="0" fontId="10" fillId="0" borderId="0" xfId="0" applyFont="1" applyAlignment="1">
      <alignment horizontal="left" vertical="center" wrapText="1"/>
    </xf>
    <xf numFmtId="0" fontId="15" fillId="12" borderId="45" xfId="0" applyFont="1" applyFill="1" applyBorder="1" applyAlignment="1">
      <alignment horizontal="left" vertical="center" wrapText="1"/>
    </xf>
    <xf numFmtId="0" fontId="10" fillId="12" borderId="46" xfId="0" applyFont="1" applyFill="1" applyBorder="1" applyAlignment="1">
      <alignment horizontal="left" vertical="center" wrapText="1"/>
    </xf>
    <xf numFmtId="0" fontId="15" fillId="12" borderId="46" xfId="0" applyFont="1" applyFill="1" applyBorder="1" applyAlignment="1">
      <alignment horizontal="left" vertical="center" wrapText="1"/>
    </xf>
    <xf numFmtId="0" fontId="15" fillId="12" borderId="47" xfId="0" applyFont="1" applyFill="1" applyBorder="1" applyAlignment="1">
      <alignment horizontal="left" vertical="center" wrapText="1"/>
    </xf>
    <xf numFmtId="0" fontId="9" fillId="13" borderId="8" xfId="0" applyFont="1" applyFill="1" applyBorder="1" applyAlignment="1">
      <alignment horizontal="left" vertical="center" wrapText="1"/>
    </xf>
    <xf numFmtId="0" fontId="9" fillId="14" borderId="48" xfId="0" applyFont="1" applyFill="1" applyBorder="1" applyAlignment="1">
      <alignment horizontal="left" vertical="center" wrapText="1"/>
    </xf>
    <xf numFmtId="0" fontId="9" fillId="14" borderId="19" xfId="0" applyFont="1" applyFill="1" applyBorder="1" applyAlignment="1">
      <alignment horizontal="left" vertical="center" wrapText="1"/>
    </xf>
    <xf numFmtId="0" fontId="9" fillId="14" borderId="49" xfId="0" applyFont="1" applyFill="1" applyBorder="1" applyAlignment="1">
      <alignment horizontal="left" vertical="center" wrapText="1"/>
    </xf>
    <xf numFmtId="2" fontId="1" fillId="0" borderId="7" xfId="0" applyNumberFormat="1" applyFont="1" applyBorder="1" applyAlignment="1">
      <alignment horizontal="center" vertical="center" wrapText="1"/>
    </xf>
    <xf numFmtId="0" fontId="17" fillId="0" borderId="44" xfId="0" applyFont="1" applyBorder="1" applyAlignment="1">
      <alignment horizontal="left" vertical="top" wrapText="1"/>
    </xf>
    <xf numFmtId="1" fontId="18" fillId="11" borderId="8" xfId="0" applyNumberFormat="1" applyFont="1" applyFill="1" applyBorder="1" applyAlignment="1">
      <alignment horizontal="left" vertical="center"/>
    </xf>
    <xf numFmtId="164" fontId="19" fillId="11" borderId="21" xfId="0" applyNumberFormat="1" applyFont="1" applyFill="1" applyBorder="1" applyAlignment="1">
      <alignment horizontal="left" vertical="center" wrapText="1"/>
    </xf>
    <xf numFmtId="0" fontId="7" fillId="0" borderId="0" xfId="0" applyFont="1"/>
    <xf numFmtId="0" fontId="1" fillId="0" borderId="8" xfId="0" applyFont="1" applyBorder="1" applyAlignment="1">
      <alignment horizontal="left" vertical="center" wrapText="1"/>
    </xf>
    <xf numFmtId="9" fontId="1" fillId="0" borderId="8" xfId="0" applyNumberFormat="1" applyFont="1" applyBorder="1" applyAlignment="1">
      <alignment horizontal="left" vertical="center" wrapText="1"/>
    </xf>
    <xf numFmtId="1" fontId="20" fillId="11" borderId="8" xfId="0" applyNumberFormat="1" applyFont="1" applyFill="1" applyBorder="1" applyAlignment="1">
      <alignment horizontal="left" vertical="center"/>
    </xf>
    <xf numFmtId="164" fontId="20" fillId="11" borderId="21" xfId="0" applyNumberFormat="1" applyFont="1" applyFill="1" applyBorder="1" applyAlignment="1">
      <alignment horizontal="left" vertical="center"/>
    </xf>
    <xf numFmtId="0" fontId="1" fillId="0" borderId="50" xfId="0" applyFont="1" applyBorder="1" applyAlignment="1">
      <alignment horizontal="center" vertical="center" wrapText="1"/>
    </xf>
    <xf numFmtId="164" fontId="1" fillId="0" borderId="50" xfId="0" applyNumberFormat="1" applyFont="1" applyBorder="1" applyAlignment="1">
      <alignment horizontal="center" vertical="center" wrapText="1"/>
    </xf>
    <xf numFmtId="0" fontId="1" fillId="0" borderId="51" xfId="0" applyFont="1" applyBorder="1" applyAlignment="1">
      <alignment vertical="center" wrapText="1"/>
    </xf>
    <xf numFmtId="0" fontId="19" fillId="11" borderId="8" xfId="0" applyFont="1" applyFill="1" applyBorder="1" applyAlignment="1">
      <alignment horizontal="left" vertical="center" wrapText="1"/>
    </xf>
    <xf numFmtId="0" fontId="1" fillId="15" borderId="8" xfId="0" applyFont="1" applyFill="1" applyBorder="1" applyAlignment="1">
      <alignment horizontal="left" vertical="center" wrapText="1"/>
    </xf>
    <xf numFmtId="49" fontId="21" fillId="0" borderId="0" xfId="0" applyNumberFormat="1" applyFont="1"/>
    <xf numFmtId="0" fontId="16" fillId="0" borderId="20" xfId="0" applyFont="1" applyBorder="1" applyAlignment="1">
      <alignment wrapText="1"/>
    </xf>
    <xf numFmtId="0" fontId="8" fillId="0" borderId="0" xfId="0" applyFont="1"/>
    <xf numFmtId="49" fontId="1" fillId="0" borderId="7" xfId="0" applyNumberFormat="1" applyFont="1" applyBorder="1" applyAlignment="1">
      <alignment horizontal="left" vertical="top" wrapText="1"/>
    </xf>
    <xf numFmtId="49" fontId="8" fillId="0" borderId="0" xfId="0" applyNumberFormat="1" applyFont="1" applyAlignment="1">
      <alignment wrapText="1"/>
    </xf>
    <xf numFmtId="49" fontId="17" fillId="0" borderId="52" xfId="0" applyNumberFormat="1" applyFont="1" applyBorder="1" applyAlignment="1">
      <alignment horizontal="left" vertical="top" wrapText="1"/>
    </xf>
    <xf numFmtId="49" fontId="17" fillId="0" borderId="53" xfId="0" applyNumberFormat="1" applyFont="1" applyBorder="1" applyAlignment="1">
      <alignment horizontal="left" vertical="top" wrapText="1"/>
    </xf>
    <xf numFmtId="49" fontId="22" fillId="0" borderId="0" xfId="0" applyNumberFormat="1" applyFont="1" applyAlignment="1">
      <alignment wrapText="1"/>
    </xf>
    <xf numFmtId="49" fontId="17" fillId="0" borderId="8" xfId="0" applyNumberFormat="1" applyFont="1" applyBorder="1" applyAlignment="1">
      <alignment horizontal="left" vertical="top" wrapText="1"/>
    </xf>
    <xf numFmtId="0" fontId="15" fillId="2" borderId="54" xfId="0" applyFont="1" applyFill="1" applyBorder="1" applyAlignment="1">
      <alignment horizontal="left" vertical="center" wrapText="1"/>
    </xf>
    <xf numFmtId="0" fontId="15" fillId="2" borderId="18" xfId="0" applyFont="1" applyFill="1" applyBorder="1" applyAlignment="1">
      <alignment horizontal="left" vertical="center" wrapText="1"/>
    </xf>
    <xf numFmtId="49" fontId="17" fillId="0" borderId="30" xfId="0" applyNumberFormat="1" applyFont="1" applyBorder="1" applyAlignment="1">
      <alignment horizontal="left" vertical="top" wrapText="1"/>
    </xf>
    <xf numFmtId="49" fontId="17" fillId="0" borderId="55" xfId="0" applyNumberFormat="1" applyFont="1" applyBorder="1" applyAlignment="1">
      <alignment horizontal="left" vertical="top" wrapText="1"/>
    </xf>
    <xf numFmtId="0" fontId="10" fillId="10" borderId="43" xfId="0" applyFont="1" applyFill="1" applyBorder="1" applyAlignment="1">
      <alignment horizontal="left" vertical="center" wrapText="1"/>
    </xf>
    <xf numFmtId="49" fontId="17" fillId="0" borderId="18" xfId="0" applyNumberFormat="1" applyFont="1" applyBorder="1" applyAlignment="1">
      <alignment horizontal="left" vertical="top" wrapText="1"/>
    </xf>
    <xf numFmtId="1" fontId="12" fillId="0" borderId="0" xfId="0" applyNumberFormat="1" applyFont="1" applyAlignment="1">
      <alignment horizontal="center" vertical="center" wrapText="1"/>
    </xf>
    <xf numFmtId="0" fontId="0" fillId="0" borderId="0" xfId="0"/>
    <xf numFmtId="2" fontId="13" fillId="6" borderId="21" xfId="0" applyNumberFormat="1" applyFont="1" applyFill="1" applyBorder="1" applyAlignment="1">
      <alignment horizontal="left" vertical="center" wrapText="1"/>
    </xf>
    <xf numFmtId="0" fontId="14" fillId="0" borderId="22" xfId="0" applyFont="1" applyBorder="1"/>
    <xf numFmtId="0" fontId="14" fillId="0" borderId="23" xfId="0" applyFont="1" applyBorder="1"/>
    <xf numFmtId="0" fontId="1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radarChart>
        <c:radarStyle val="marker"/>
        <c:varyColors val="1"/>
        <c:ser>
          <c:idx val="0"/>
          <c:order val="0"/>
          <c:tx>
            <c:v>Premium Rice</c:v>
          </c:tx>
          <c:spPr>
            <a:ln w="38100" cmpd="sng">
              <a:solidFill>
                <a:srgbClr val="4472C4"/>
              </a:solidFill>
            </a:ln>
          </c:spPr>
          <c:marker>
            <c:symbol val="circle"/>
            <c:size val="10"/>
            <c:spPr>
              <a:solidFill>
                <a:srgbClr val="4472C4"/>
              </a:solidFill>
              <a:ln cmpd="sng">
                <a:solidFill>
                  <a:srgbClr val="4472C4"/>
                </a:solidFill>
              </a:ln>
            </c:spPr>
          </c:marker>
          <c:cat>
            <c:strRef>
              <c:f>'Visual Summary'!$B$5:$B$11</c:f>
              <c:strCache>
                <c:ptCount val="7"/>
                <c:pt idx="0">
                  <c:v>Economic Potential </c:v>
                </c:pt>
                <c:pt idx="1">
                  <c:v>Pro-Poor Potential </c:v>
                </c:pt>
                <c:pt idx="2">
                  <c:v>Green Growth Potential </c:v>
                </c:pt>
                <c:pt idx="3">
                  <c:v>Systemic Change Potential </c:v>
                </c:pt>
                <c:pt idx="4">
                  <c:v>PWD Opportunities</c:v>
                </c:pt>
                <c:pt idx="5">
                  <c:v>WEE Opportunitiies</c:v>
                </c:pt>
                <c:pt idx="6">
                  <c:v>Quick Win Potential </c:v>
                </c:pt>
              </c:strCache>
            </c:strRef>
          </c:cat>
          <c:val>
            <c:numRef>
              <c:f>'Visual Summary'!$C$5:$C$11</c:f>
              <c:numCache>
                <c:formatCode>0</c:formatCode>
                <c:ptCount val="7"/>
                <c:pt idx="0">
                  <c:v>8.9999999999999982</c:v>
                </c:pt>
                <c:pt idx="1">
                  <c:v>8</c:v>
                </c:pt>
                <c:pt idx="2">
                  <c:v>8</c:v>
                </c:pt>
                <c:pt idx="3">
                  <c:v>9.3333333333333339</c:v>
                </c:pt>
                <c:pt idx="4">
                  <c:v>2.666666666666667</c:v>
                </c:pt>
                <c:pt idx="5">
                  <c:v>6.666666666666667</c:v>
                </c:pt>
                <c:pt idx="6">
                  <c:v>8.1666666666666679</c:v>
                </c:pt>
              </c:numCache>
            </c:numRef>
          </c:val>
          <c:extLst>
            <c:ext xmlns:c16="http://schemas.microsoft.com/office/drawing/2014/chart" uri="{C3380CC4-5D6E-409C-BE32-E72D297353CC}">
              <c16:uniqueId val="{00000000-02D9-4DDA-8318-E5EF5B772E6C}"/>
            </c:ext>
          </c:extLst>
        </c:ser>
        <c:dLbls>
          <c:showLegendKey val="0"/>
          <c:showVal val="0"/>
          <c:showCatName val="0"/>
          <c:showSerName val="0"/>
          <c:showPercent val="0"/>
          <c:showBubbleSize val="0"/>
        </c:dLbls>
        <c:axId val="1856929964"/>
        <c:axId val="39096049"/>
      </c:radarChart>
      <c:catAx>
        <c:axId val="1856929964"/>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39096049"/>
        <c:crosses val="autoZero"/>
        <c:auto val="1"/>
        <c:lblAlgn val="ctr"/>
        <c:lblOffset val="100"/>
        <c:noMultiLvlLbl val="1"/>
      </c:catAx>
      <c:valAx>
        <c:axId val="390960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856929964"/>
        <c:crosses val="autoZero"/>
        <c:crossBetween val="between"/>
      </c:valAx>
    </c:plotArea>
    <c:legend>
      <c:legendPos val="l"/>
      <c:legendEntry>
        <c:idx val="0"/>
        <c:txPr>
          <a:bodyPr/>
          <a:lstStyle/>
          <a:p>
            <a:pPr lvl="0">
              <a:defRPr>
                <a:solidFill>
                  <a:srgbClr val="4472C4"/>
                </a:solidFill>
              </a:defRPr>
            </a:pPr>
            <a:endParaRPr lang="en-US"/>
          </a:p>
        </c:txPr>
      </c:legendEntry>
      <c:overlay val="0"/>
      <c:txPr>
        <a:bodyPr/>
        <a:lstStyle/>
        <a:p>
          <a:pPr lvl="0">
            <a:defRPr sz="1400" b="0" i="0">
              <a:solidFill>
                <a:schemeClr val="accent6"/>
              </a:solidFill>
              <a:latin typeface="Georgia"/>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800" b="1" i="0">
                <a:solidFill>
                  <a:srgbClr val="FF9900"/>
                </a:solidFill>
                <a:latin typeface="Georgia"/>
              </a:defRPr>
            </a:pPr>
            <a:r>
              <a:rPr lang="en-US" sz="1800" b="1" i="0">
                <a:solidFill>
                  <a:srgbClr val="FF9900"/>
                </a:solidFill>
                <a:latin typeface="Georgia"/>
              </a:rPr>
              <a:t>Banana</a:t>
            </a:r>
          </a:p>
        </c:rich>
      </c:tx>
      <c:overlay val="0"/>
    </c:title>
    <c:autoTitleDeleted val="0"/>
    <c:plotArea>
      <c:layout/>
      <c:radarChart>
        <c:radarStyle val="marker"/>
        <c:varyColors val="1"/>
        <c:ser>
          <c:idx val="0"/>
          <c:order val="0"/>
          <c:tx>
            <c:strRef>
              <c:f>'Visual Summary'!$E$4</c:f>
              <c:strCache>
                <c:ptCount val="1"/>
                <c:pt idx="0">
                  <c:v>Banana</c:v>
                </c:pt>
              </c:strCache>
            </c:strRef>
          </c:tx>
          <c:spPr>
            <a:ln w="38100" cmpd="sng">
              <a:solidFill>
                <a:srgbClr val="FF9900">
                  <a:alpha val="100000"/>
                </a:srgbClr>
              </a:solidFill>
            </a:ln>
          </c:spPr>
          <c:marker>
            <c:symbol val="circle"/>
            <c:size val="14"/>
            <c:spPr>
              <a:solidFill>
                <a:srgbClr val="FF9900">
                  <a:alpha val="100000"/>
                </a:srgbClr>
              </a:solidFill>
              <a:ln cmpd="sng">
                <a:solidFill>
                  <a:srgbClr val="FF9900">
                    <a:alpha val="100000"/>
                  </a:srgbClr>
                </a:solidFill>
              </a:ln>
            </c:spPr>
          </c:marker>
          <c:cat>
            <c:strRef>
              <c:f>'Visual Summary'!$B$5:$B$11</c:f>
              <c:strCache>
                <c:ptCount val="7"/>
                <c:pt idx="0">
                  <c:v>Economic Potential </c:v>
                </c:pt>
                <c:pt idx="1">
                  <c:v>Pro-Poor Potential </c:v>
                </c:pt>
                <c:pt idx="2">
                  <c:v>Green Growth Potential </c:v>
                </c:pt>
                <c:pt idx="3">
                  <c:v>Systemic Change Potential </c:v>
                </c:pt>
                <c:pt idx="4">
                  <c:v>PWD Opportunities</c:v>
                </c:pt>
                <c:pt idx="5">
                  <c:v>WEE Opportunitiies</c:v>
                </c:pt>
                <c:pt idx="6">
                  <c:v>Quick Win Potential </c:v>
                </c:pt>
              </c:strCache>
            </c:strRef>
          </c:cat>
          <c:val>
            <c:numRef>
              <c:f>'Visual Summary'!$E$5:$E$11</c:f>
              <c:numCache>
                <c:formatCode>0</c:formatCode>
                <c:ptCount val="7"/>
                <c:pt idx="0">
                  <c:v>4.3333333333333339</c:v>
                </c:pt>
                <c:pt idx="1">
                  <c:v>6.666666666666667</c:v>
                </c:pt>
                <c:pt idx="2">
                  <c:v>4.6666666666666661</c:v>
                </c:pt>
                <c:pt idx="3">
                  <c:v>4.666666666666667</c:v>
                </c:pt>
                <c:pt idx="4">
                  <c:v>6.666666666666667</c:v>
                </c:pt>
                <c:pt idx="5">
                  <c:v>6.666666666666667</c:v>
                </c:pt>
                <c:pt idx="6">
                  <c:v>5.166666666666667</c:v>
                </c:pt>
              </c:numCache>
            </c:numRef>
          </c:val>
          <c:extLst>
            <c:ext xmlns:c16="http://schemas.microsoft.com/office/drawing/2014/chart" uri="{C3380CC4-5D6E-409C-BE32-E72D297353CC}">
              <c16:uniqueId val="{00000000-1C22-4BFE-BF9A-FB726DB49196}"/>
            </c:ext>
          </c:extLst>
        </c:ser>
        <c:dLbls>
          <c:showLegendKey val="0"/>
          <c:showVal val="0"/>
          <c:showCatName val="0"/>
          <c:showSerName val="0"/>
          <c:showPercent val="0"/>
          <c:showBubbleSize val="0"/>
        </c:dLbls>
        <c:axId val="982566351"/>
        <c:axId val="1708208370"/>
      </c:radarChart>
      <c:catAx>
        <c:axId val="982566351"/>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708208370"/>
        <c:crosses val="autoZero"/>
        <c:auto val="1"/>
        <c:lblAlgn val="ctr"/>
        <c:lblOffset val="100"/>
        <c:noMultiLvlLbl val="1"/>
      </c:catAx>
      <c:valAx>
        <c:axId val="1708208370"/>
        <c:scaling>
          <c:orientation val="minMax"/>
          <c:max val="1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982566351"/>
        <c:crosses val="autoZero"/>
        <c:crossBetween val="between"/>
      </c:valAx>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radarChart>
        <c:radarStyle val="marker"/>
        <c:varyColors val="1"/>
        <c:ser>
          <c:idx val="0"/>
          <c:order val="0"/>
          <c:tx>
            <c:strRef>
              <c:f>'Visual Summary'!$C$4</c:f>
              <c:strCache>
                <c:ptCount val="1"/>
                <c:pt idx="0">
                  <c:v>Climate Smart Rice</c:v>
                </c:pt>
              </c:strCache>
            </c:strRef>
          </c:tx>
          <c:spPr>
            <a:ln w="38100" cmpd="sng">
              <a:solidFill>
                <a:srgbClr val="4472C4"/>
              </a:solidFill>
            </a:ln>
          </c:spPr>
          <c:marker>
            <c:symbol val="circle"/>
            <c:size val="10"/>
            <c:spPr>
              <a:solidFill>
                <a:srgbClr val="4472C4"/>
              </a:solidFill>
              <a:ln cmpd="sng">
                <a:solidFill>
                  <a:srgbClr val="4472C4"/>
                </a:solidFill>
              </a:ln>
            </c:spPr>
          </c:marker>
          <c:cat>
            <c:strRef>
              <c:f>'Visual Summary'!$B$5:$B$11</c:f>
              <c:strCache>
                <c:ptCount val="7"/>
                <c:pt idx="0">
                  <c:v>Economic Potential </c:v>
                </c:pt>
                <c:pt idx="1">
                  <c:v>Pro-Poor Potential </c:v>
                </c:pt>
                <c:pt idx="2">
                  <c:v>Green Growth Potential </c:v>
                </c:pt>
                <c:pt idx="3">
                  <c:v>Systemic Change Potential </c:v>
                </c:pt>
                <c:pt idx="4">
                  <c:v>PWD Opportunities</c:v>
                </c:pt>
                <c:pt idx="5">
                  <c:v>WEE Opportunitiies</c:v>
                </c:pt>
                <c:pt idx="6">
                  <c:v>Quick Win Potential </c:v>
                </c:pt>
              </c:strCache>
            </c:strRef>
          </c:cat>
          <c:val>
            <c:numRef>
              <c:f>'Visual Summary'!$C$5:$C$11</c:f>
              <c:numCache>
                <c:formatCode>0</c:formatCode>
                <c:ptCount val="7"/>
                <c:pt idx="0">
                  <c:v>8.9999999999999982</c:v>
                </c:pt>
                <c:pt idx="1">
                  <c:v>8</c:v>
                </c:pt>
                <c:pt idx="2">
                  <c:v>8</c:v>
                </c:pt>
                <c:pt idx="3">
                  <c:v>9.3333333333333339</c:v>
                </c:pt>
                <c:pt idx="4">
                  <c:v>2.666666666666667</c:v>
                </c:pt>
                <c:pt idx="5">
                  <c:v>6.666666666666667</c:v>
                </c:pt>
                <c:pt idx="6">
                  <c:v>8.1666666666666679</c:v>
                </c:pt>
              </c:numCache>
            </c:numRef>
          </c:val>
          <c:extLst>
            <c:ext xmlns:c16="http://schemas.microsoft.com/office/drawing/2014/chart" uri="{C3380CC4-5D6E-409C-BE32-E72D297353CC}">
              <c16:uniqueId val="{00000000-4437-4043-8766-0660F46EE0FE}"/>
            </c:ext>
          </c:extLst>
        </c:ser>
        <c:ser>
          <c:idx val="1"/>
          <c:order val="1"/>
          <c:tx>
            <c:strRef>
              <c:f>'Visual Summary'!$E$4</c:f>
              <c:strCache>
                <c:ptCount val="1"/>
                <c:pt idx="0">
                  <c:v>Banana</c:v>
                </c:pt>
              </c:strCache>
            </c:strRef>
          </c:tx>
          <c:spPr>
            <a:ln w="38100" cmpd="sng">
              <a:solidFill>
                <a:srgbClr val="ED7D31"/>
              </a:solidFill>
            </a:ln>
          </c:spPr>
          <c:marker>
            <c:symbol val="circle"/>
            <c:size val="10"/>
            <c:spPr>
              <a:solidFill>
                <a:srgbClr val="ED7D31"/>
              </a:solidFill>
              <a:ln cmpd="sng">
                <a:solidFill>
                  <a:srgbClr val="ED7D31"/>
                </a:solidFill>
              </a:ln>
            </c:spPr>
          </c:marker>
          <c:cat>
            <c:strRef>
              <c:f>'Visual Summary'!$B$5:$B$11</c:f>
              <c:strCache>
                <c:ptCount val="7"/>
                <c:pt idx="0">
                  <c:v>Economic Potential </c:v>
                </c:pt>
                <c:pt idx="1">
                  <c:v>Pro-Poor Potential </c:v>
                </c:pt>
                <c:pt idx="2">
                  <c:v>Green Growth Potential </c:v>
                </c:pt>
                <c:pt idx="3">
                  <c:v>Systemic Change Potential </c:v>
                </c:pt>
                <c:pt idx="4">
                  <c:v>PWD Opportunities</c:v>
                </c:pt>
                <c:pt idx="5">
                  <c:v>WEE Opportunitiies</c:v>
                </c:pt>
                <c:pt idx="6">
                  <c:v>Quick Win Potential </c:v>
                </c:pt>
              </c:strCache>
            </c:strRef>
          </c:cat>
          <c:val>
            <c:numRef>
              <c:f>'Visual Summary'!$E$5:$E$11</c:f>
              <c:numCache>
                <c:formatCode>0</c:formatCode>
                <c:ptCount val="7"/>
                <c:pt idx="0">
                  <c:v>4.3333333333333339</c:v>
                </c:pt>
                <c:pt idx="1">
                  <c:v>6.666666666666667</c:v>
                </c:pt>
                <c:pt idx="2">
                  <c:v>4.6666666666666661</c:v>
                </c:pt>
                <c:pt idx="3">
                  <c:v>4.666666666666667</c:v>
                </c:pt>
                <c:pt idx="4">
                  <c:v>6.666666666666667</c:v>
                </c:pt>
                <c:pt idx="5">
                  <c:v>6.666666666666667</c:v>
                </c:pt>
                <c:pt idx="6">
                  <c:v>5.166666666666667</c:v>
                </c:pt>
              </c:numCache>
            </c:numRef>
          </c:val>
          <c:extLst>
            <c:ext xmlns:c16="http://schemas.microsoft.com/office/drawing/2014/chart" uri="{C3380CC4-5D6E-409C-BE32-E72D297353CC}">
              <c16:uniqueId val="{00000001-4437-4043-8766-0660F46EE0FE}"/>
            </c:ext>
          </c:extLst>
        </c:ser>
        <c:ser>
          <c:idx val="2"/>
          <c:order val="2"/>
          <c:tx>
            <c:v>Shrimp</c:v>
          </c:tx>
          <c:spPr>
            <a:ln w="38100" cmpd="sng">
              <a:solidFill>
                <a:srgbClr val="A5A5A5"/>
              </a:solidFill>
            </a:ln>
          </c:spPr>
          <c:marker>
            <c:symbol val="circle"/>
            <c:size val="10"/>
            <c:spPr>
              <a:solidFill>
                <a:srgbClr val="A5A5A5"/>
              </a:solidFill>
              <a:ln cmpd="sng">
                <a:solidFill>
                  <a:srgbClr val="A5A5A5"/>
                </a:solidFill>
              </a:ln>
            </c:spPr>
          </c:marker>
          <c:cat>
            <c:strRef>
              <c:f>'Visual Summary'!$B$5:$B$11</c:f>
              <c:strCache>
                <c:ptCount val="7"/>
                <c:pt idx="0">
                  <c:v>Economic Potential </c:v>
                </c:pt>
                <c:pt idx="1">
                  <c:v>Pro-Poor Potential </c:v>
                </c:pt>
                <c:pt idx="2">
                  <c:v>Green Growth Potential </c:v>
                </c:pt>
                <c:pt idx="3">
                  <c:v>Systemic Change Potential </c:v>
                </c:pt>
                <c:pt idx="4">
                  <c:v>PWD Opportunities</c:v>
                </c:pt>
                <c:pt idx="5">
                  <c:v>WEE Opportunitiies</c:v>
                </c:pt>
                <c:pt idx="6">
                  <c:v>Quick Win Potential </c:v>
                </c:pt>
              </c:strCache>
            </c:strRef>
          </c:cat>
          <c:val>
            <c:numRef>
              <c:f>'Visual Summary'!$D$5:$D$11</c:f>
              <c:numCache>
                <c:formatCode>0</c:formatCode>
                <c:ptCount val="7"/>
                <c:pt idx="0">
                  <c:v>7.9999999999999982</c:v>
                </c:pt>
                <c:pt idx="1">
                  <c:v>7.333333333333333</c:v>
                </c:pt>
                <c:pt idx="2">
                  <c:v>6</c:v>
                </c:pt>
                <c:pt idx="3">
                  <c:v>8</c:v>
                </c:pt>
                <c:pt idx="4">
                  <c:v>4.6666666666666661</c:v>
                </c:pt>
                <c:pt idx="5">
                  <c:v>7.333333333333333</c:v>
                </c:pt>
                <c:pt idx="6">
                  <c:v>8.1666666666666679</c:v>
                </c:pt>
              </c:numCache>
            </c:numRef>
          </c:val>
          <c:extLst>
            <c:ext xmlns:c16="http://schemas.microsoft.com/office/drawing/2014/chart" uri="{C3380CC4-5D6E-409C-BE32-E72D297353CC}">
              <c16:uniqueId val="{00000002-4437-4043-8766-0660F46EE0FE}"/>
            </c:ext>
          </c:extLst>
        </c:ser>
        <c:dLbls>
          <c:showLegendKey val="0"/>
          <c:showVal val="0"/>
          <c:showCatName val="0"/>
          <c:showSerName val="0"/>
          <c:showPercent val="0"/>
          <c:showBubbleSize val="0"/>
        </c:dLbls>
        <c:axId val="89583978"/>
        <c:axId val="1886350361"/>
      </c:radarChart>
      <c:catAx>
        <c:axId val="89583978"/>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886350361"/>
        <c:crosses val="autoZero"/>
        <c:auto val="1"/>
        <c:lblAlgn val="ctr"/>
        <c:lblOffset val="100"/>
        <c:noMultiLvlLbl val="1"/>
      </c:catAx>
      <c:valAx>
        <c:axId val="18863503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89583978"/>
        <c:crosses val="autoZero"/>
        <c:crossBetween val="between"/>
      </c:valAx>
    </c:plotArea>
    <c:legend>
      <c:legendPos val="l"/>
      <c:overlay val="0"/>
      <c:txPr>
        <a:bodyPr/>
        <a:lstStyle/>
        <a:p>
          <a:pPr lvl="0">
            <a:defRPr sz="1400" b="0" i="0">
              <a:solidFill>
                <a:schemeClr val="accent1"/>
              </a:solidFill>
              <a:latin typeface="Georgia"/>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radarChart>
        <c:radarStyle val="marker"/>
        <c:varyColors val="1"/>
        <c:ser>
          <c:idx val="0"/>
          <c:order val="0"/>
          <c:tx>
            <c:v>Shrimp</c:v>
          </c:tx>
          <c:spPr>
            <a:ln w="38100" cmpd="sng">
              <a:solidFill>
                <a:schemeClr val="accent3"/>
              </a:solidFill>
            </a:ln>
          </c:spPr>
          <c:marker>
            <c:symbol val="circle"/>
            <c:size val="10"/>
            <c:spPr>
              <a:solidFill>
                <a:schemeClr val="accent3"/>
              </a:solidFill>
              <a:ln cmpd="sng">
                <a:solidFill>
                  <a:schemeClr val="accent3"/>
                </a:solidFill>
              </a:ln>
            </c:spPr>
          </c:marker>
          <c:cat>
            <c:strRef>
              <c:f>'Visual Summary'!$B$5:$B$11</c:f>
              <c:strCache>
                <c:ptCount val="7"/>
                <c:pt idx="0">
                  <c:v>Economic Potential </c:v>
                </c:pt>
                <c:pt idx="1">
                  <c:v>Pro-Poor Potential </c:v>
                </c:pt>
                <c:pt idx="2">
                  <c:v>Green Growth Potential </c:v>
                </c:pt>
                <c:pt idx="3">
                  <c:v>Systemic Change Potential </c:v>
                </c:pt>
                <c:pt idx="4">
                  <c:v>PWD Opportunities</c:v>
                </c:pt>
                <c:pt idx="5">
                  <c:v>WEE Opportunitiies</c:v>
                </c:pt>
                <c:pt idx="6">
                  <c:v>Quick Win Potential </c:v>
                </c:pt>
              </c:strCache>
            </c:strRef>
          </c:cat>
          <c:val>
            <c:numRef>
              <c:f>'Visual Summary'!$D$5:$D$11</c:f>
              <c:numCache>
                <c:formatCode>0</c:formatCode>
                <c:ptCount val="7"/>
                <c:pt idx="0">
                  <c:v>7.9999999999999982</c:v>
                </c:pt>
                <c:pt idx="1">
                  <c:v>7.333333333333333</c:v>
                </c:pt>
                <c:pt idx="2">
                  <c:v>6</c:v>
                </c:pt>
                <c:pt idx="3">
                  <c:v>8</c:v>
                </c:pt>
                <c:pt idx="4">
                  <c:v>4.6666666666666661</c:v>
                </c:pt>
                <c:pt idx="5">
                  <c:v>7.333333333333333</c:v>
                </c:pt>
                <c:pt idx="6">
                  <c:v>8.1666666666666679</c:v>
                </c:pt>
              </c:numCache>
            </c:numRef>
          </c:val>
          <c:extLst>
            <c:ext xmlns:c16="http://schemas.microsoft.com/office/drawing/2014/chart" uri="{C3380CC4-5D6E-409C-BE32-E72D297353CC}">
              <c16:uniqueId val="{00000000-B996-4D96-BC56-4A8C9663B744}"/>
            </c:ext>
          </c:extLst>
        </c:ser>
        <c:dLbls>
          <c:showLegendKey val="0"/>
          <c:showVal val="0"/>
          <c:showCatName val="0"/>
          <c:showSerName val="0"/>
          <c:showPercent val="0"/>
          <c:showBubbleSize val="0"/>
        </c:dLbls>
        <c:axId val="995764875"/>
        <c:axId val="625198463"/>
      </c:radarChart>
      <c:catAx>
        <c:axId val="995764875"/>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625198463"/>
        <c:crosses val="autoZero"/>
        <c:auto val="1"/>
        <c:lblAlgn val="ctr"/>
        <c:lblOffset val="100"/>
        <c:noMultiLvlLbl val="1"/>
      </c:catAx>
      <c:valAx>
        <c:axId val="625198463"/>
        <c:scaling>
          <c:orientation val="minMax"/>
          <c:max val="1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995764875"/>
        <c:crosses val="autoZero"/>
        <c:crossBetween val="between"/>
      </c:valAx>
    </c:plotArea>
    <c:legend>
      <c:legendPos val="l"/>
      <c:overlay val="0"/>
      <c:txPr>
        <a:bodyPr/>
        <a:lstStyle/>
        <a:p>
          <a:pPr lvl="0">
            <a:defRPr sz="1400" b="0" i="0">
              <a:solidFill>
                <a:schemeClr val="accent3"/>
              </a:solidFill>
              <a:latin typeface="Georgia"/>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1971675</xdr:colOff>
      <xdr:row>21</xdr:row>
      <xdr:rowOff>57150</xdr:rowOff>
    </xdr:from>
    <xdr:ext cx="6962775" cy="4305300"/>
    <xdr:graphicFrame macro="">
      <xdr:nvGraphicFramePr>
        <xdr:cNvPr id="1434847618" name="Chart 1" title="Chart">
          <a:extLst>
            <a:ext uri="{FF2B5EF4-FFF2-40B4-BE49-F238E27FC236}">
              <a16:creationId xmlns:a16="http://schemas.microsoft.com/office/drawing/2014/main" id="{00000000-0008-0000-0000-0000820986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590550</xdr:colOff>
      <xdr:row>21</xdr:row>
      <xdr:rowOff>57150</xdr:rowOff>
    </xdr:from>
    <xdr:ext cx="6962775" cy="4305300"/>
    <xdr:graphicFrame macro="">
      <xdr:nvGraphicFramePr>
        <xdr:cNvPr id="1431081320" name="Chart 2" title="Chart">
          <a:extLst>
            <a:ext uri="{FF2B5EF4-FFF2-40B4-BE49-F238E27FC236}">
              <a16:creationId xmlns:a16="http://schemas.microsoft.com/office/drawing/2014/main" id="{00000000-0008-0000-0000-000068914C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28575</xdr:colOff>
      <xdr:row>0</xdr:row>
      <xdr:rowOff>0</xdr:rowOff>
    </xdr:from>
    <xdr:ext cx="6962775" cy="4305300"/>
    <xdr:graphicFrame macro="">
      <xdr:nvGraphicFramePr>
        <xdr:cNvPr id="800433916" name="Chart 3" title="Chart">
          <a:extLst>
            <a:ext uri="{FF2B5EF4-FFF2-40B4-BE49-F238E27FC236}">
              <a16:creationId xmlns:a16="http://schemas.microsoft.com/office/drawing/2014/main" id="{00000000-0008-0000-0000-0000FCA6B5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xdr:col>
      <xdr:colOff>2047875</xdr:colOff>
      <xdr:row>45</xdr:row>
      <xdr:rowOff>28575</xdr:rowOff>
    </xdr:from>
    <xdr:ext cx="6962775" cy="4305300"/>
    <xdr:graphicFrame macro="">
      <xdr:nvGraphicFramePr>
        <xdr:cNvPr id="1404240047" name="Chart 4" title="Chart">
          <a:extLst>
            <a:ext uri="{FF2B5EF4-FFF2-40B4-BE49-F238E27FC236}">
              <a16:creationId xmlns:a16="http://schemas.microsoft.com/office/drawing/2014/main" id="{00000000-0008-0000-0000-0000AF00B3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95"/>
  <sheetViews>
    <sheetView tabSelected="1" zoomScale="85" zoomScaleNormal="85" workbookViewId="0"/>
  </sheetViews>
  <sheetFormatPr defaultColWidth="11.25" defaultRowHeight="15" customHeight="1" x14ac:dyDescent="0.25"/>
  <cols>
    <col min="1" max="1" width="5.625" customWidth="1"/>
    <col min="2" max="2" width="46" customWidth="1"/>
    <col min="3" max="3" width="16.25" customWidth="1"/>
    <col min="4" max="4" width="15.75" customWidth="1"/>
    <col min="5" max="5" width="13.5" customWidth="1"/>
    <col min="6" max="6" width="14.25" customWidth="1"/>
    <col min="7" max="23" width="10.625" customWidth="1"/>
  </cols>
  <sheetData>
    <row r="1" spans="1:23" ht="15.75" customHeight="1" x14ac:dyDescent="0.25">
      <c r="A1" s="1"/>
      <c r="B1" s="2"/>
      <c r="C1" s="2"/>
      <c r="D1" s="2"/>
      <c r="E1" s="2"/>
      <c r="F1" s="2"/>
      <c r="G1" s="2"/>
      <c r="H1" s="2"/>
      <c r="I1" s="2"/>
      <c r="J1" s="2"/>
      <c r="K1" s="2"/>
      <c r="L1" s="2"/>
      <c r="M1" s="2"/>
      <c r="N1" s="2"/>
      <c r="O1" s="2"/>
      <c r="P1" s="2"/>
      <c r="Q1" s="2"/>
      <c r="R1" s="2"/>
      <c r="S1" s="2"/>
      <c r="T1" s="3"/>
    </row>
    <row r="2" spans="1:23" ht="50.25" customHeight="1" x14ac:dyDescent="0.5">
      <c r="A2" s="4"/>
      <c r="B2" s="5" t="s">
        <v>0</v>
      </c>
      <c r="C2" s="6"/>
      <c r="D2" s="7"/>
      <c r="E2" s="7"/>
      <c r="T2" s="8"/>
    </row>
    <row r="3" spans="1:23" ht="15.75" customHeight="1" x14ac:dyDescent="0.25">
      <c r="A3" s="4"/>
      <c r="T3" s="8"/>
    </row>
    <row r="4" spans="1:23" ht="46.5" x14ac:dyDescent="0.35">
      <c r="A4" s="9"/>
      <c r="B4" s="10" t="s">
        <v>1</v>
      </c>
      <c r="C4" s="11" t="s">
        <v>2</v>
      </c>
      <c r="D4" s="12" t="s">
        <v>3</v>
      </c>
      <c r="E4" s="13" t="s">
        <v>4</v>
      </c>
      <c r="F4" s="14"/>
      <c r="G4" s="14"/>
      <c r="H4" s="14"/>
      <c r="I4" s="14"/>
      <c r="J4" s="14"/>
      <c r="K4" s="14"/>
      <c r="L4" s="14"/>
      <c r="M4" s="14"/>
      <c r="N4" s="14"/>
      <c r="O4" s="14"/>
      <c r="P4" s="14"/>
      <c r="Q4" s="14"/>
      <c r="R4" s="14"/>
      <c r="S4" s="14"/>
      <c r="T4" s="15"/>
      <c r="U4" s="14"/>
      <c r="V4" s="14"/>
      <c r="W4" s="14"/>
    </row>
    <row r="5" spans="1:23" ht="21" x14ac:dyDescent="0.35">
      <c r="A5" s="4"/>
      <c r="B5" s="16" t="s">
        <v>5</v>
      </c>
      <c r="C5" s="17">
        <f>'Smart Rice'!L32</f>
        <v>8.9999999999999982</v>
      </c>
      <c r="D5" s="17">
        <f>Shrimp!L32</f>
        <v>7.9999999999999982</v>
      </c>
      <c r="E5" s="18">
        <f>Banana!L32</f>
        <v>4.3333333333333339</v>
      </c>
      <c r="T5" s="8"/>
    </row>
    <row r="6" spans="1:23" ht="21" x14ac:dyDescent="0.35">
      <c r="A6" s="19"/>
      <c r="B6" s="16" t="s">
        <v>6</v>
      </c>
      <c r="C6" s="17">
        <f>'Smart Rice'!L33</f>
        <v>8</v>
      </c>
      <c r="D6" s="17">
        <f>Shrimp!L33</f>
        <v>7.333333333333333</v>
      </c>
      <c r="E6" s="18">
        <f>Banana!L33</f>
        <v>6.666666666666667</v>
      </c>
      <c r="T6" s="8"/>
    </row>
    <row r="7" spans="1:23" ht="21" x14ac:dyDescent="0.35">
      <c r="A7" s="4"/>
      <c r="B7" s="16" t="s">
        <v>7</v>
      </c>
      <c r="C7" s="17">
        <f>'Smart Rice'!L34</f>
        <v>8</v>
      </c>
      <c r="D7" s="17">
        <f>Shrimp!L34</f>
        <v>6</v>
      </c>
      <c r="E7" s="18">
        <f>Banana!L34</f>
        <v>4.6666666666666661</v>
      </c>
      <c r="T7" s="8"/>
    </row>
    <row r="8" spans="1:23" ht="21" x14ac:dyDescent="0.35">
      <c r="A8" s="4"/>
      <c r="B8" s="16" t="s">
        <v>8</v>
      </c>
      <c r="C8" s="17">
        <f>'Smart Rice'!L35</f>
        <v>9.3333333333333339</v>
      </c>
      <c r="D8" s="17">
        <f>Shrimp!L35</f>
        <v>8</v>
      </c>
      <c r="E8" s="18">
        <f>Banana!L35</f>
        <v>4.666666666666667</v>
      </c>
      <c r="T8" s="8"/>
    </row>
    <row r="9" spans="1:23" ht="21" x14ac:dyDescent="0.35">
      <c r="A9" s="4"/>
      <c r="B9" s="16" t="s">
        <v>9</v>
      </c>
      <c r="C9" s="17">
        <f>'Smart Rice'!L36</f>
        <v>2.666666666666667</v>
      </c>
      <c r="D9" s="17">
        <f>Shrimp!L36</f>
        <v>4.6666666666666661</v>
      </c>
      <c r="E9" s="18">
        <f>Banana!L36</f>
        <v>6.666666666666667</v>
      </c>
      <c r="T9" s="8"/>
    </row>
    <row r="10" spans="1:23" ht="21" x14ac:dyDescent="0.35">
      <c r="A10" s="4"/>
      <c r="B10" s="16" t="s">
        <v>10</v>
      </c>
      <c r="C10" s="17">
        <f>'Smart Rice'!L37</f>
        <v>6.666666666666667</v>
      </c>
      <c r="D10" s="17">
        <f>Shrimp!L37</f>
        <v>7.333333333333333</v>
      </c>
      <c r="E10" s="18">
        <f>Banana!L37</f>
        <v>6.666666666666667</v>
      </c>
      <c r="T10" s="8"/>
    </row>
    <row r="11" spans="1:23" ht="21" x14ac:dyDescent="0.35">
      <c r="A11" s="4"/>
      <c r="B11" s="16" t="s">
        <v>11</v>
      </c>
      <c r="C11" s="20">
        <f>'Smart Rice'!L38</f>
        <v>8.1666666666666679</v>
      </c>
      <c r="D11" s="20">
        <f>Shrimp!L38</f>
        <v>8.1666666666666679</v>
      </c>
      <c r="E11" s="21">
        <f>Banana!L38</f>
        <v>5.166666666666667</v>
      </c>
      <c r="T11" s="8"/>
    </row>
    <row r="12" spans="1:23" ht="15.75" hidden="1" customHeight="1" x14ac:dyDescent="0.25">
      <c r="A12" s="4"/>
      <c r="B12" s="22" t="s">
        <v>12</v>
      </c>
      <c r="C12" s="23">
        <f>SUM(C5:C11)</f>
        <v>51.833333333333329</v>
      </c>
      <c r="D12" s="23"/>
      <c r="E12" s="23">
        <f>SUM(E5:E11)</f>
        <v>38.833333333333329</v>
      </c>
      <c r="T12" s="8"/>
    </row>
    <row r="13" spans="1:23" ht="15.75" customHeight="1" x14ac:dyDescent="0.25">
      <c r="A13" s="4"/>
      <c r="T13" s="8"/>
    </row>
    <row r="14" spans="1:23" ht="15.75" customHeight="1" x14ac:dyDescent="0.25">
      <c r="A14" s="4"/>
      <c r="T14" s="8"/>
    </row>
    <row r="15" spans="1:23" ht="15.75" customHeight="1" x14ac:dyDescent="0.25">
      <c r="A15" s="4"/>
      <c r="T15" s="8"/>
    </row>
    <row r="16" spans="1:23" ht="15.75" customHeight="1" x14ac:dyDescent="0.25">
      <c r="A16" s="4"/>
      <c r="T16" s="8"/>
    </row>
    <row r="17" spans="1:20" ht="15.75" customHeight="1" x14ac:dyDescent="0.25">
      <c r="A17" s="4"/>
      <c r="T17" s="8"/>
    </row>
    <row r="18" spans="1:20" ht="15.75" customHeight="1" x14ac:dyDescent="0.25">
      <c r="A18" s="4"/>
      <c r="T18" s="8"/>
    </row>
    <row r="19" spans="1:20" ht="15.75" customHeight="1" x14ac:dyDescent="0.25">
      <c r="A19" s="4"/>
      <c r="T19" s="8"/>
    </row>
    <row r="20" spans="1:20" ht="15.75" customHeight="1" x14ac:dyDescent="0.25">
      <c r="A20" s="4"/>
      <c r="T20" s="8"/>
    </row>
    <row r="21" spans="1:20" ht="15.75" customHeight="1" x14ac:dyDescent="0.25">
      <c r="A21" s="4"/>
      <c r="T21" s="8"/>
    </row>
    <row r="22" spans="1:20" ht="15.75" customHeight="1" x14ac:dyDescent="0.25">
      <c r="A22" s="4"/>
      <c r="T22" s="8"/>
    </row>
    <row r="23" spans="1:20" ht="15.75" customHeight="1" x14ac:dyDescent="0.25">
      <c r="A23" s="4"/>
      <c r="T23" s="8"/>
    </row>
    <row r="24" spans="1:20" ht="15.75" customHeight="1" x14ac:dyDescent="0.25">
      <c r="A24" s="4"/>
      <c r="T24" s="8"/>
    </row>
    <row r="25" spans="1:20" ht="15.75" customHeight="1" x14ac:dyDescent="0.25">
      <c r="A25" s="4"/>
      <c r="T25" s="8"/>
    </row>
    <row r="26" spans="1:20" ht="15.75" customHeight="1" x14ac:dyDescent="0.25">
      <c r="A26" s="4"/>
      <c r="T26" s="8"/>
    </row>
    <row r="27" spans="1:20" ht="15.75" customHeight="1" x14ac:dyDescent="0.25">
      <c r="A27" s="4"/>
      <c r="T27" s="8"/>
    </row>
    <row r="28" spans="1:20" ht="15.75" customHeight="1" x14ac:dyDescent="0.25">
      <c r="A28" s="4"/>
      <c r="T28" s="8"/>
    </row>
    <row r="29" spans="1:20" ht="15.75" customHeight="1" x14ac:dyDescent="0.25">
      <c r="A29" s="4"/>
      <c r="T29" s="8"/>
    </row>
    <row r="30" spans="1:20" ht="15.75" customHeight="1" x14ac:dyDescent="0.25">
      <c r="A30" s="4"/>
      <c r="T30" s="8"/>
    </row>
    <row r="31" spans="1:20" ht="15.75" customHeight="1" x14ac:dyDescent="0.25">
      <c r="A31" s="4"/>
      <c r="T31" s="8"/>
    </row>
    <row r="32" spans="1:20" ht="15.75" customHeight="1" x14ac:dyDescent="0.25">
      <c r="A32" s="4"/>
      <c r="T32" s="8"/>
    </row>
    <row r="33" spans="1:20" ht="15.75" customHeight="1" x14ac:dyDescent="0.25">
      <c r="A33" s="4"/>
      <c r="T33" s="8"/>
    </row>
    <row r="34" spans="1:20" ht="15.75" customHeight="1" x14ac:dyDescent="0.25">
      <c r="A34" s="4"/>
      <c r="T34" s="8"/>
    </row>
    <row r="35" spans="1:20" ht="15.75" customHeight="1" x14ac:dyDescent="0.25">
      <c r="A35" s="4"/>
      <c r="T35" s="8"/>
    </row>
    <row r="36" spans="1:20" ht="15.75" customHeight="1" x14ac:dyDescent="0.25">
      <c r="A36" s="4"/>
      <c r="T36" s="8"/>
    </row>
    <row r="37" spans="1:20" ht="15.75" customHeight="1" x14ac:dyDescent="0.25">
      <c r="A37" s="4"/>
      <c r="T37" s="8"/>
    </row>
    <row r="38" spans="1:20" ht="15.75" customHeight="1" x14ac:dyDescent="0.25">
      <c r="A38" s="4"/>
      <c r="T38" s="8"/>
    </row>
    <row r="39" spans="1:20" ht="15.75" customHeight="1" x14ac:dyDescent="0.25">
      <c r="A39" s="4"/>
      <c r="T39" s="8"/>
    </row>
    <row r="40" spans="1:20" ht="15.75" customHeight="1" x14ac:dyDescent="0.25">
      <c r="A40" s="4"/>
      <c r="T40" s="8"/>
    </row>
    <row r="41" spans="1:20" ht="15.75" customHeight="1" x14ac:dyDescent="0.25">
      <c r="A41" s="4"/>
      <c r="T41" s="8"/>
    </row>
    <row r="42" spans="1:20" ht="15.75" customHeight="1" x14ac:dyDescent="0.25">
      <c r="A42" s="4"/>
      <c r="T42" s="8"/>
    </row>
    <row r="43" spans="1:20" ht="15.75" customHeight="1" x14ac:dyDescent="0.25">
      <c r="A43" s="4"/>
      <c r="T43" s="8"/>
    </row>
    <row r="44" spans="1:20" ht="15.75" customHeight="1" x14ac:dyDescent="0.25">
      <c r="A44" s="4"/>
      <c r="T44" s="8"/>
    </row>
    <row r="45" spans="1:20" ht="15.75" customHeight="1" x14ac:dyDescent="0.25">
      <c r="A45" s="4"/>
      <c r="T45" s="8"/>
    </row>
    <row r="46" spans="1:20" ht="15.75" customHeight="1" x14ac:dyDescent="0.25">
      <c r="A46" s="4"/>
      <c r="T46" s="8"/>
    </row>
    <row r="47" spans="1:20" ht="15.75" customHeight="1" x14ac:dyDescent="0.25">
      <c r="A47" s="4"/>
      <c r="T47" s="8"/>
    </row>
    <row r="48" spans="1:20" ht="15.75" customHeight="1" x14ac:dyDescent="0.25">
      <c r="A48" s="4"/>
      <c r="T48" s="8"/>
    </row>
    <row r="49" spans="1:20" ht="15.75" customHeight="1" x14ac:dyDescent="0.25">
      <c r="A49" s="4"/>
      <c r="T49" s="8"/>
    </row>
    <row r="50" spans="1:20" ht="15.75" customHeight="1" x14ac:dyDescent="0.25">
      <c r="A50" s="4"/>
      <c r="T50" s="8"/>
    </row>
    <row r="51" spans="1:20" ht="15.75" customHeight="1" x14ac:dyDescent="0.25">
      <c r="A51" s="4"/>
      <c r="T51" s="8"/>
    </row>
    <row r="52" spans="1:20" ht="15.75" customHeight="1" x14ac:dyDescent="0.25">
      <c r="A52" s="24"/>
      <c r="B52" s="25"/>
      <c r="C52" s="25"/>
      <c r="D52" s="25"/>
      <c r="E52" s="25"/>
      <c r="F52" s="25"/>
      <c r="G52" s="25"/>
      <c r="H52" s="25"/>
      <c r="I52" s="25"/>
      <c r="J52" s="25"/>
      <c r="K52" s="25"/>
      <c r="L52" s="25"/>
      <c r="M52" s="25"/>
      <c r="N52" s="25"/>
      <c r="O52" s="25"/>
      <c r="P52" s="25"/>
      <c r="Q52" s="25"/>
      <c r="R52" s="25"/>
      <c r="S52" s="25"/>
      <c r="T52" s="26"/>
    </row>
    <row r="53" spans="1:20" ht="15.75" customHeight="1" x14ac:dyDescent="0.25"/>
    <row r="54" spans="1:20" ht="15.75" customHeight="1" x14ac:dyDescent="0.25"/>
    <row r="55" spans="1:20" ht="15.75" customHeight="1" x14ac:dyDescent="0.25"/>
    <row r="56" spans="1:20" ht="15.75" customHeight="1" x14ac:dyDescent="0.25"/>
    <row r="57" spans="1:20" ht="15.75" customHeight="1" x14ac:dyDescent="0.25"/>
    <row r="58" spans="1:20" ht="15.75" customHeight="1" x14ac:dyDescent="0.25"/>
    <row r="59" spans="1:20" ht="15.75" customHeight="1" x14ac:dyDescent="0.25"/>
    <row r="60" spans="1:20" ht="15.75" customHeight="1" x14ac:dyDescent="0.25"/>
    <row r="61" spans="1:20" ht="15.75" customHeight="1" x14ac:dyDescent="0.25"/>
    <row r="62" spans="1:20" ht="15.75" customHeight="1" x14ac:dyDescent="0.25"/>
    <row r="63" spans="1:20" ht="15.75" customHeight="1" x14ac:dyDescent="0.25"/>
    <row r="64" spans="1:20" ht="15.75" customHeight="1" x14ac:dyDescent="0.25"/>
    <row r="65" spans="2:6" ht="15.75" customHeight="1" x14ac:dyDescent="0.25"/>
    <row r="66" spans="2:6" ht="15.75" customHeight="1" x14ac:dyDescent="0.25"/>
    <row r="67" spans="2:6" ht="15.75" customHeight="1" x14ac:dyDescent="0.25"/>
    <row r="68" spans="2:6" ht="15.75" customHeight="1" x14ac:dyDescent="0.25"/>
    <row r="69" spans="2:6" ht="15.75" customHeight="1" x14ac:dyDescent="0.25"/>
    <row r="70" spans="2:6" ht="15.75" customHeight="1" x14ac:dyDescent="0.25"/>
    <row r="71" spans="2:6" ht="15.75" customHeight="1" x14ac:dyDescent="0.25"/>
    <row r="72" spans="2:6" ht="15.75" customHeight="1" x14ac:dyDescent="0.25">
      <c r="B72" s="27" t="s">
        <v>13</v>
      </c>
      <c r="C72" s="28" t="s">
        <v>14</v>
      </c>
      <c r="D72" s="29" t="s">
        <v>15</v>
      </c>
      <c r="E72" s="30" t="s">
        <v>3</v>
      </c>
      <c r="F72" s="31" t="s">
        <v>16</v>
      </c>
    </row>
    <row r="73" spans="2:6" ht="15.75" customHeight="1" x14ac:dyDescent="0.25">
      <c r="B73" s="32" t="s">
        <v>5</v>
      </c>
      <c r="C73" s="33">
        <v>25</v>
      </c>
      <c r="D73" s="33">
        <f>'Smart Rice'!P32</f>
        <v>22.5</v>
      </c>
      <c r="E73" s="33">
        <f>Shrimp!P32</f>
        <v>20</v>
      </c>
      <c r="F73" s="34">
        <f>Banana!P32</f>
        <v>10.75</v>
      </c>
    </row>
    <row r="74" spans="2:6" ht="15.75" customHeight="1" x14ac:dyDescent="0.25">
      <c r="B74" s="32" t="s">
        <v>6</v>
      </c>
      <c r="C74" s="33">
        <v>20</v>
      </c>
      <c r="D74" s="33">
        <f>'Smart Rice'!P33</f>
        <v>16</v>
      </c>
      <c r="E74" s="33">
        <f>Shrimp!P33</f>
        <v>14.6</v>
      </c>
      <c r="F74" s="34">
        <f>Banana!P33</f>
        <v>13.4</v>
      </c>
    </row>
    <row r="75" spans="2:6" ht="15.75" customHeight="1" x14ac:dyDescent="0.25">
      <c r="B75" s="32" t="s">
        <v>7</v>
      </c>
      <c r="C75" s="33">
        <v>20</v>
      </c>
      <c r="D75" s="33">
        <f>'Smart Rice'!P34</f>
        <v>16</v>
      </c>
      <c r="E75" s="33">
        <f>Shrimp!P34</f>
        <v>12</v>
      </c>
      <c r="F75" s="34">
        <f>Banana!P34</f>
        <v>9.3999999999999986</v>
      </c>
    </row>
    <row r="76" spans="2:6" ht="15.75" customHeight="1" x14ac:dyDescent="0.25">
      <c r="B76" s="32" t="s">
        <v>8</v>
      </c>
      <c r="C76" s="33">
        <v>10</v>
      </c>
      <c r="D76" s="33">
        <f>'Smart Rice'!P35</f>
        <v>9.3000000000000007</v>
      </c>
      <c r="E76" s="33">
        <f>Shrimp!P35</f>
        <v>8</v>
      </c>
      <c r="F76" s="34">
        <f>Banana!P35</f>
        <v>4.6999999999999993</v>
      </c>
    </row>
    <row r="77" spans="2:6" ht="15.75" customHeight="1" x14ac:dyDescent="0.25">
      <c r="B77" s="32" t="s">
        <v>9</v>
      </c>
      <c r="C77" s="33">
        <v>5</v>
      </c>
      <c r="D77" s="33">
        <f>'Smart Rice'!P36</f>
        <v>1.35</v>
      </c>
      <c r="E77" s="33">
        <f>Shrimp!P36</f>
        <v>2.3499999999999996</v>
      </c>
      <c r="F77" s="34">
        <f>Banana!P36</f>
        <v>3.35</v>
      </c>
    </row>
    <row r="78" spans="2:6" ht="15.75" customHeight="1" x14ac:dyDescent="0.25">
      <c r="B78" s="32" t="s">
        <v>10</v>
      </c>
      <c r="C78" s="33">
        <v>10</v>
      </c>
      <c r="D78" s="33">
        <f>'Smart Rice'!P37</f>
        <v>6.7</v>
      </c>
      <c r="E78" s="33">
        <f>Shrimp!P37</f>
        <v>7.3</v>
      </c>
      <c r="F78" s="34">
        <f>Banana!P37</f>
        <v>6.7</v>
      </c>
    </row>
    <row r="79" spans="2:6" ht="15.75" customHeight="1" x14ac:dyDescent="0.25">
      <c r="B79" s="32" t="s">
        <v>11</v>
      </c>
      <c r="C79" s="33">
        <v>10</v>
      </c>
      <c r="D79" s="33">
        <f>'Smart Rice'!P38</f>
        <v>8.1999999999999993</v>
      </c>
      <c r="E79" s="33">
        <f>Shrimp!P38</f>
        <v>8.1999999999999993</v>
      </c>
      <c r="F79" s="34">
        <f>Banana!P38</f>
        <v>5.2</v>
      </c>
    </row>
    <row r="80" spans="2:6" ht="15.75" customHeight="1" x14ac:dyDescent="0.25">
      <c r="B80" s="35" t="s">
        <v>17</v>
      </c>
      <c r="C80" s="36">
        <f t="shared" ref="C80:F80" si="0">SUM(C73:C79)</f>
        <v>100</v>
      </c>
      <c r="D80" s="36">
        <f t="shared" si="0"/>
        <v>80.05</v>
      </c>
      <c r="E80" s="36">
        <f t="shared" si="0"/>
        <v>72.45</v>
      </c>
      <c r="F80" s="36">
        <f t="shared" si="0"/>
        <v>53.500000000000007</v>
      </c>
    </row>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5"/>
  <sheetViews>
    <sheetView zoomScale="55" zoomScaleNormal="55" workbookViewId="0">
      <selection activeCell="F12" sqref="F12"/>
    </sheetView>
  </sheetViews>
  <sheetFormatPr defaultColWidth="11.25" defaultRowHeight="15" customHeight="1" x14ac:dyDescent="0.25"/>
  <cols>
    <col min="1" max="1" width="10.625" customWidth="1"/>
    <col min="2" max="2" width="4.375" customWidth="1"/>
    <col min="3" max="3" width="32.25" customWidth="1"/>
    <col min="4" max="4" width="10.625" customWidth="1"/>
    <col min="5" max="5" width="7.625" customWidth="1"/>
    <col min="6" max="6" width="13" customWidth="1"/>
    <col min="7" max="7" width="59" customWidth="1"/>
    <col min="8" max="8" width="9.375" customWidth="1"/>
    <col min="9" max="9" width="34.625" customWidth="1"/>
    <col min="10" max="10" width="11.375" customWidth="1"/>
    <col min="11" max="11" width="8" customWidth="1"/>
    <col min="12" max="12" width="13.25" customWidth="1"/>
    <col min="13" max="13" width="57.75" customWidth="1"/>
    <col min="14" max="26" width="10.625" customWidth="1"/>
  </cols>
  <sheetData>
    <row r="1" spans="1:26" ht="15.75" customHeight="1" x14ac:dyDescent="0.25">
      <c r="A1" s="37"/>
      <c r="B1" s="37"/>
      <c r="C1" s="37"/>
      <c r="D1" s="37"/>
      <c r="E1" s="37"/>
      <c r="F1" s="37"/>
      <c r="G1" s="37"/>
      <c r="H1" s="37"/>
      <c r="I1" s="37"/>
      <c r="J1" s="37"/>
      <c r="K1" s="37"/>
      <c r="L1" s="37"/>
      <c r="M1" s="37"/>
      <c r="N1" s="37"/>
      <c r="O1" s="37"/>
      <c r="P1" s="37"/>
      <c r="Q1" s="37"/>
      <c r="R1" s="37"/>
      <c r="S1" s="37"/>
      <c r="T1" s="37"/>
      <c r="U1" s="37"/>
      <c r="V1" s="37"/>
      <c r="W1" s="37"/>
      <c r="X1" s="37"/>
      <c r="Y1" s="37"/>
      <c r="Z1" s="37"/>
    </row>
    <row r="2" spans="1:26" ht="15.75" customHeight="1" x14ac:dyDescent="0.25">
      <c r="A2" s="37"/>
      <c r="B2" s="37"/>
      <c r="C2" s="37"/>
      <c r="D2" s="37"/>
      <c r="E2" s="37"/>
      <c r="F2" s="37"/>
      <c r="G2" s="37"/>
      <c r="H2" s="37"/>
      <c r="I2" s="37"/>
      <c r="J2" s="37"/>
      <c r="K2" s="37"/>
      <c r="L2" s="37"/>
      <c r="M2" s="37"/>
      <c r="N2" s="37"/>
      <c r="O2" s="37"/>
      <c r="P2" s="37"/>
      <c r="Q2" s="37"/>
      <c r="R2" s="37"/>
      <c r="S2" s="37"/>
      <c r="T2" s="37"/>
      <c r="U2" s="37"/>
      <c r="V2" s="37"/>
      <c r="W2" s="37"/>
      <c r="X2" s="37"/>
      <c r="Y2" s="37"/>
      <c r="Z2" s="37"/>
    </row>
    <row r="3" spans="1:26" ht="51" customHeight="1" x14ac:dyDescent="0.25">
      <c r="A3" s="37"/>
      <c r="B3" s="37"/>
      <c r="C3" s="38" t="s">
        <v>0</v>
      </c>
      <c r="D3" s="146" t="str">
        <f>'Visual Summary'!C4</f>
        <v>Climate Smart Rice</v>
      </c>
      <c r="E3" s="147"/>
      <c r="F3" s="147"/>
      <c r="G3" s="39"/>
      <c r="H3" s="37"/>
      <c r="I3" s="37"/>
      <c r="J3" s="37"/>
      <c r="K3" s="37"/>
      <c r="L3" s="37"/>
      <c r="M3" s="37"/>
      <c r="N3" s="37"/>
      <c r="O3" s="37"/>
      <c r="P3" s="37"/>
      <c r="Q3" s="37"/>
      <c r="R3" s="37"/>
      <c r="S3" s="37"/>
      <c r="T3" s="37"/>
      <c r="U3" s="37"/>
      <c r="V3" s="37"/>
      <c r="W3" s="37"/>
      <c r="X3" s="37"/>
      <c r="Y3" s="37"/>
      <c r="Z3" s="37"/>
    </row>
    <row r="4" spans="1:26" ht="61.5" customHeight="1" x14ac:dyDescent="0.25">
      <c r="A4" s="37"/>
      <c r="B4" s="37"/>
      <c r="C4" s="148" t="s">
        <v>18</v>
      </c>
      <c r="D4" s="149"/>
      <c r="E4" s="149"/>
      <c r="F4" s="149"/>
      <c r="G4" s="150"/>
      <c r="H4" s="37"/>
      <c r="I4" s="37"/>
      <c r="J4" s="40"/>
      <c r="K4" s="40"/>
      <c r="L4" s="37"/>
      <c r="M4" s="37"/>
      <c r="N4" s="37"/>
      <c r="O4" s="37"/>
      <c r="P4" s="37"/>
      <c r="Q4" s="37"/>
      <c r="R4" s="37"/>
      <c r="S4" s="37"/>
      <c r="T4" s="37"/>
      <c r="U4" s="37"/>
      <c r="V4" s="37"/>
      <c r="W4" s="37"/>
      <c r="X4" s="37"/>
      <c r="Y4" s="37"/>
      <c r="Z4" s="37"/>
    </row>
    <row r="5" spans="1:26" ht="61.5" hidden="1" customHeight="1" x14ac:dyDescent="0.25">
      <c r="A5" s="37"/>
      <c r="B5" s="37"/>
      <c r="E5" s="41">
        <v>100</v>
      </c>
      <c r="F5" s="37"/>
      <c r="G5" s="37"/>
      <c r="H5" s="37"/>
      <c r="I5" s="37"/>
      <c r="J5" s="40">
        <f>D4</f>
        <v>0</v>
      </c>
      <c r="K5" s="40">
        <f>E5</f>
        <v>100</v>
      </c>
      <c r="L5" s="37"/>
      <c r="M5" s="37"/>
      <c r="N5" s="37"/>
      <c r="O5" s="37"/>
      <c r="P5" s="37"/>
      <c r="Q5" s="37"/>
      <c r="R5" s="37"/>
      <c r="S5" s="37"/>
      <c r="T5" s="37"/>
      <c r="U5" s="37"/>
      <c r="V5" s="37"/>
      <c r="W5" s="37"/>
      <c r="X5" s="37"/>
      <c r="Y5" s="37"/>
      <c r="Z5" s="37"/>
    </row>
    <row r="6" spans="1:26" ht="62.25" customHeight="1" x14ac:dyDescent="0.25">
      <c r="A6" s="37"/>
      <c r="B6" s="37"/>
      <c r="C6" s="42" t="str">
        <f>'Visual Summary'!B5</f>
        <v xml:space="preserve">Economic Potential </v>
      </c>
      <c r="D6" s="43" t="s">
        <v>19</v>
      </c>
      <c r="E6" s="44" t="s">
        <v>20</v>
      </c>
      <c r="F6" s="45" t="s">
        <v>21</v>
      </c>
      <c r="G6" s="46" t="s">
        <v>22</v>
      </c>
      <c r="H6" s="37"/>
      <c r="I6" s="47" t="str">
        <f>'Visual Summary'!B9</f>
        <v>PWD Opportunities</v>
      </c>
      <c r="J6" s="48" t="s">
        <v>19</v>
      </c>
      <c r="K6" s="49" t="s">
        <v>20</v>
      </c>
      <c r="L6" s="50" t="s">
        <v>21</v>
      </c>
      <c r="M6" s="51" t="s">
        <v>22</v>
      </c>
      <c r="N6" s="37"/>
      <c r="O6" s="37"/>
      <c r="P6" s="37"/>
      <c r="Q6" s="37"/>
      <c r="R6" s="37"/>
      <c r="S6" s="37"/>
      <c r="T6" s="37"/>
      <c r="U6" s="37"/>
      <c r="V6" s="37"/>
      <c r="W6" s="37"/>
      <c r="X6" s="37"/>
      <c r="Y6" s="37"/>
      <c r="Z6" s="37"/>
    </row>
    <row r="7" spans="1:26" ht="117" customHeight="1" x14ac:dyDescent="0.4">
      <c r="A7" s="37"/>
      <c r="B7" s="37">
        <v>1</v>
      </c>
      <c r="C7" s="52" t="s">
        <v>23</v>
      </c>
      <c r="D7" s="53">
        <v>3</v>
      </c>
      <c r="E7" s="54">
        <v>30</v>
      </c>
      <c r="F7" s="55">
        <f t="shared" ref="F7:F11" si="0">(((D7*E7)/3))</f>
        <v>30</v>
      </c>
      <c r="G7" s="56" t="s">
        <v>24</v>
      </c>
      <c r="H7" s="57">
        <v>15</v>
      </c>
      <c r="I7" s="58" t="s">
        <v>25</v>
      </c>
      <c r="J7" s="53">
        <v>1</v>
      </c>
      <c r="K7" s="54">
        <v>20</v>
      </c>
      <c r="L7" s="55">
        <f t="shared" ref="L7:L11" si="1">(((J7*K7)/3))</f>
        <v>6.666666666666667</v>
      </c>
      <c r="M7" s="59" t="s">
        <v>26</v>
      </c>
      <c r="N7" s="37"/>
      <c r="O7" s="37"/>
      <c r="P7" s="37"/>
      <c r="Q7" s="37"/>
      <c r="R7" s="37"/>
      <c r="S7" s="37"/>
      <c r="T7" s="37"/>
      <c r="U7" s="37"/>
      <c r="V7" s="37"/>
      <c r="W7" s="37"/>
      <c r="X7" s="37"/>
      <c r="Y7" s="37"/>
      <c r="Z7" s="37"/>
    </row>
    <row r="8" spans="1:26" ht="60.75" customHeight="1" x14ac:dyDescent="0.4">
      <c r="A8" s="37"/>
      <c r="B8" s="37">
        <v>2</v>
      </c>
      <c r="C8" s="52" t="s">
        <v>27</v>
      </c>
      <c r="D8" s="53">
        <v>2</v>
      </c>
      <c r="E8" s="54">
        <v>10</v>
      </c>
      <c r="F8" s="60">
        <f t="shared" si="0"/>
        <v>6.666666666666667</v>
      </c>
      <c r="G8" s="56" t="s">
        <v>28</v>
      </c>
      <c r="H8" s="57">
        <v>16</v>
      </c>
      <c r="I8" s="58" t="s">
        <v>29</v>
      </c>
      <c r="J8" s="53">
        <v>1</v>
      </c>
      <c r="K8" s="54">
        <v>20</v>
      </c>
      <c r="L8" s="60">
        <f t="shared" si="1"/>
        <v>6.666666666666667</v>
      </c>
      <c r="M8" s="59" t="s">
        <v>30</v>
      </c>
      <c r="N8" s="37"/>
      <c r="O8" s="37"/>
      <c r="P8" s="37"/>
      <c r="Q8" s="37"/>
      <c r="R8" s="37"/>
      <c r="S8" s="37"/>
      <c r="T8" s="37"/>
      <c r="U8" s="37"/>
      <c r="V8" s="37"/>
      <c r="W8" s="37"/>
      <c r="X8" s="37"/>
      <c r="Y8" s="37"/>
      <c r="Z8" s="37"/>
    </row>
    <row r="9" spans="1:26" ht="101.25" customHeight="1" x14ac:dyDescent="0.4">
      <c r="A9" s="37"/>
      <c r="B9" s="37">
        <v>3</v>
      </c>
      <c r="C9" s="52" t="s">
        <v>31</v>
      </c>
      <c r="D9" s="53">
        <v>3</v>
      </c>
      <c r="E9" s="54">
        <v>10</v>
      </c>
      <c r="F9" s="60">
        <f t="shared" si="0"/>
        <v>10</v>
      </c>
      <c r="G9" s="56" t="s">
        <v>32</v>
      </c>
      <c r="H9" s="57">
        <v>17</v>
      </c>
      <c r="I9" s="58" t="s">
        <v>33</v>
      </c>
      <c r="J9" s="53">
        <v>1</v>
      </c>
      <c r="K9" s="54">
        <v>20</v>
      </c>
      <c r="L9" s="60">
        <f t="shared" si="1"/>
        <v>6.666666666666667</v>
      </c>
      <c r="M9" s="59" t="s">
        <v>34</v>
      </c>
      <c r="N9" s="37"/>
      <c r="O9" s="37"/>
      <c r="P9" s="37"/>
      <c r="Q9" s="37"/>
      <c r="R9" s="37"/>
      <c r="S9" s="37"/>
      <c r="T9" s="37"/>
      <c r="U9" s="37"/>
      <c r="V9" s="37"/>
      <c r="W9" s="37"/>
      <c r="X9" s="37"/>
      <c r="Y9" s="37"/>
      <c r="Z9" s="37"/>
    </row>
    <row r="10" spans="1:26" ht="97.5" customHeight="1" x14ac:dyDescent="0.4">
      <c r="A10" s="37"/>
      <c r="B10" s="37">
        <v>4</v>
      </c>
      <c r="C10" s="52" t="s">
        <v>35</v>
      </c>
      <c r="D10" s="53">
        <v>3</v>
      </c>
      <c r="E10" s="54">
        <v>30</v>
      </c>
      <c r="F10" s="60">
        <f t="shared" si="0"/>
        <v>30</v>
      </c>
      <c r="G10" s="56" t="s">
        <v>36</v>
      </c>
      <c r="H10" s="57">
        <v>18</v>
      </c>
      <c r="I10" s="58" t="s">
        <v>37</v>
      </c>
      <c r="J10" s="53">
        <v>0</v>
      </c>
      <c r="K10" s="54">
        <v>20</v>
      </c>
      <c r="L10" s="60">
        <f t="shared" si="1"/>
        <v>0</v>
      </c>
      <c r="M10" s="59" t="s">
        <v>38</v>
      </c>
      <c r="N10" s="37"/>
      <c r="O10" s="37"/>
      <c r="P10" s="37"/>
      <c r="Q10" s="37"/>
      <c r="R10" s="37"/>
      <c r="S10" s="37"/>
      <c r="T10" s="37"/>
      <c r="U10" s="37"/>
      <c r="V10" s="37"/>
      <c r="W10" s="37"/>
      <c r="X10" s="37"/>
      <c r="Y10" s="37"/>
      <c r="Z10" s="37"/>
    </row>
    <row r="11" spans="1:26" ht="114.75" customHeight="1" x14ac:dyDescent="0.25">
      <c r="A11" s="37"/>
      <c r="B11" s="37">
        <v>5</v>
      </c>
      <c r="C11" s="61" t="s">
        <v>39</v>
      </c>
      <c r="D11" s="53">
        <v>2</v>
      </c>
      <c r="E11" s="54">
        <v>20</v>
      </c>
      <c r="F11" s="60">
        <f t="shared" si="0"/>
        <v>13.333333333333334</v>
      </c>
      <c r="G11" s="56" t="s">
        <v>40</v>
      </c>
      <c r="H11" s="57">
        <v>19</v>
      </c>
      <c r="I11" s="58" t="s">
        <v>41</v>
      </c>
      <c r="J11" s="53">
        <v>1</v>
      </c>
      <c r="K11" s="54">
        <v>20</v>
      </c>
      <c r="L11" s="60">
        <f t="shared" si="1"/>
        <v>6.666666666666667</v>
      </c>
      <c r="M11" s="59" t="s">
        <v>42</v>
      </c>
      <c r="N11" s="37"/>
      <c r="O11" s="37"/>
      <c r="P11" s="37"/>
      <c r="Q11" s="37"/>
      <c r="R11" s="37"/>
      <c r="S11" s="37"/>
      <c r="T11" s="37"/>
      <c r="U11" s="37"/>
      <c r="V11" s="37"/>
      <c r="W11" s="37"/>
      <c r="X11" s="37"/>
      <c r="Y11" s="37"/>
      <c r="Z11" s="37"/>
    </row>
    <row r="12" spans="1:26" ht="15.75" customHeight="1" x14ac:dyDescent="0.25">
      <c r="A12" s="37"/>
      <c r="B12" s="37"/>
      <c r="C12" s="62" t="s">
        <v>43</v>
      </c>
      <c r="D12" s="63"/>
      <c r="E12" s="64">
        <f>SUM(E7:E11)</f>
        <v>100</v>
      </c>
      <c r="F12" s="65">
        <f>(SUM(F7:F11))/10</f>
        <v>8.9999999999999982</v>
      </c>
      <c r="G12" s="66"/>
      <c r="H12" s="37"/>
      <c r="I12" s="67" t="s">
        <v>43</v>
      </c>
      <c r="J12" s="68"/>
      <c r="K12" s="69">
        <f>SUM(K7:K11)</f>
        <v>100</v>
      </c>
      <c r="L12" s="70">
        <f>(SUM(L7:L11))/10</f>
        <v>2.666666666666667</v>
      </c>
      <c r="M12" s="59"/>
      <c r="N12" s="37"/>
      <c r="O12" s="37"/>
      <c r="P12" s="37"/>
      <c r="Q12" s="37"/>
      <c r="R12" s="37"/>
      <c r="S12" s="37"/>
      <c r="T12" s="37"/>
      <c r="U12" s="37"/>
      <c r="V12" s="37"/>
      <c r="W12" s="37"/>
      <c r="X12" s="37"/>
      <c r="Y12" s="37"/>
      <c r="Z12" s="37"/>
    </row>
    <row r="13" spans="1:26" ht="15.75" customHeight="1" x14ac:dyDescent="0.25">
      <c r="A13" s="37"/>
      <c r="B13" s="37"/>
      <c r="C13" s="58"/>
      <c r="D13" s="37"/>
      <c r="E13" s="37"/>
      <c r="F13" s="37"/>
      <c r="G13" s="71"/>
      <c r="H13" s="37"/>
      <c r="I13" s="37"/>
      <c r="J13" s="37"/>
      <c r="K13" s="37"/>
      <c r="L13" s="37"/>
      <c r="M13" s="37"/>
      <c r="N13" s="37"/>
      <c r="O13" s="37"/>
      <c r="P13" s="37"/>
      <c r="Q13" s="37"/>
      <c r="R13" s="37"/>
      <c r="S13" s="37"/>
      <c r="T13" s="37"/>
      <c r="U13" s="37"/>
      <c r="V13" s="37"/>
      <c r="W13" s="37"/>
      <c r="X13" s="37"/>
      <c r="Y13" s="37"/>
      <c r="Z13" s="37"/>
    </row>
    <row r="14" spans="1:26" ht="15.75" customHeight="1" x14ac:dyDescent="0.25">
      <c r="A14" s="37"/>
      <c r="B14" s="37"/>
      <c r="C14" s="58"/>
      <c r="D14" s="37"/>
      <c r="E14" s="37"/>
      <c r="F14" s="37"/>
      <c r="G14" s="71"/>
      <c r="H14" s="37"/>
      <c r="I14" s="37"/>
      <c r="J14" s="37"/>
      <c r="K14" s="37"/>
      <c r="L14" s="37"/>
      <c r="M14" s="37"/>
      <c r="N14" s="37"/>
      <c r="O14" s="37"/>
      <c r="P14" s="37"/>
      <c r="Q14" s="37"/>
      <c r="R14" s="37"/>
      <c r="S14" s="37"/>
      <c r="T14" s="37"/>
      <c r="U14" s="37"/>
      <c r="V14" s="37"/>
      <c r="W14" s="37"/>
      <c r="X14" s="37"/>
      <c r="Y14" s="37"/>
      <c r="Z14" s="37"/>
    </row>
    <row r="15" spans="1:26" ht="70.5" customHeight="1" x14ac:dyDescent="0.25">
      <c r="A15" s="37"/>
      <c r="B15" s="37"/>
      <c r="C15" s="72" t="str">
        <f>'Visual Summary'!B6</f>
        <v xml:space="preserve">Pro-Poor Potential </v>
      </c>
      <c r="D15" s="73" t="s">
        <v>19</v>
      </c>
      <c r="E15" s="74" t="s">
        <v>20</v>
      </c>
      <c r="F15" s="75" t="s">
        <v>21</v>
      </c>
      <c r="G15" s="76" t="s">
        <v>22</v>
      </c>
      <c r="H15" s="37"/>
      <c r="I15" s="77" t="str">
        <f>'Visual Summary'!B10</f>
        <v>WEE Opportunitiies</v>
      </c>
      <c r="J15" s="78" t="s">
        <v>19</v>
      </c>
      <c r="K15" s="79" t="s">
        <v>20</v>
      </c>
      <c r="L15" s="80" t="s">
        <v>21</v>
      </c>
      <c r="M15" s="81" t="s">
        <v>22</v>
      </c>
      <c r="N15" s="37"/>
      <c r="O15" s="37"/>
      <c r="P15" s="37"/>
      <c r="Q15" s="37"/>
      <c r="R15" s="37"/>
      <c r="S15" s="37"/>
      <c r="T15" s="37"/>
      <c r="U15" s="37"/>
      <c r="V15" s="37"/>
      <c r="W15" s="37"/>
      <c r="X15" s="37"/>
      <c r="Y15" s="37"/>
      <c r="Z15" s="37"/>
    </row>
    <row r="16" spans="1:26" ht="78.75" x14ac:dyDescent="0.25">
      <c r="A16" s="37"/>
      <c r="B16" s="37">
        <v>6</v>
      </c>
      <c r="C16" s="61" t="s">
        <v>44</v>
      </c>
      <c r="D16" s="53">
        <v>2</v>
      </c>
      <c r="E16" s="82">
        <v>20</v>
      </c>
      <c r="F16" s="83">
        <f t="shared" ref="F16:F20" si="2">(((D16*E16)/3))</f>
        <v>13.333333333333334</v>
      </c>
      <c r="G16" s="56" t="s">
        <v>45</v>
      </c>
      <c r="H16" s="57">
        <v>20</v>
      </c>
      <c r="I16" s="58" t="s">
        <v>46</v>
      </c>
      <c r="J16" s="53">
        <v>2</v>
      </c>
      <c r="K16" s="54">
        <v>20</v>
      </c>
      <c r="L16" s="55">
        <f t="shared" ref="L16:L20" si="3">(((J16*K16)/3))</f>
        <v>13.333333333333334</v>
      </c>
      <c r="M16" s="59" t="s">
        <v>47</v>
      </c>
      <c r="N16" s="37"/>
      <c r="O16" s="37"/>
      <c r="P16" s="37"/>
      <c r="Q16" s="37"/>
      <c r="R16" s="37"/>
      <c r="S16" s="37"/>
      <c r="T16" s="37"/>
      <c r="U16" s="37"/>
      <c r="V16" s="37"/>
      <c r="W16" s="37"/>
      <c r="X16" s="37"/>
      <c r="Y16" s="37"/>
      <c r="Z16" s="37"/>
    </row>
    <row r="17" spans="1:26" ht="83.25" customHeight="1" x14ac:dyDescent="0.25">
      <c r="A17" s="37"/>
      <c r="B17" s="37">
        <v>7</v>
      </c>
      <c r="C17" s="61" t="s">
        <v>48</v>
      </c>
      <c r="D17" s="53">
        <v>2</v>
      </c>
      <c r="E17" s="82">
        <v>20</v>
      </c>
      <c r="F17" s="83">
        <f t="shared" si="2"/>
        <v>13.333333333333334</v>
      </c>
      <c r="G17" s="56" t="s">
        <v>49</v>
      </c>
      <c r="H17" s="57">
        <v>21</v>
      </c>
      <c r="I17" s="58" t="s">
        <v>50</v>
      </c>
      <c r="J17" s="53">
        <v>2</v>
      </c>
      <c r="K17" s="54">
        <v>20</v>
      </c>
      <c r="L17" s="60">
        <f t="shared" si="3"/>
        <v>13.333333333333334</v>
      </c>
      <c r="M17" s="59" t="s">
        <v>51</v>
      </c>
      <c r="N17" s="37"/>
      <c r="O17" s="37"/>
      <c r="P17" s="37"/>
      <c r="Q17" s="37"/>
      <c r="R17" s="37"/>
      <c r="S17" s="37"/>
      <c r="T17" s="37"/>
      <c r="U17" s="37"/>
      <c r="V17" s="37"/>
      <c r="W17" s="37"/>
      <c r="X17" s="37"/>
      <c r="Y17" s="37"/>
      <c r="Z17" s="37"/>
    </row>
    <row r="18" spans="1:26" ht="63" x14ac:dyDescent="0.25">
      <c r="A18" s="37"/>
      <c r="B18" s="37">
        <v>8</v>
      </c>
      <c r="C18" s="61" t="s">
        <v>52</v>
      </c>
      <c r="D18" s="53">
        <v>3</v>
      </c>
      <c r="E18" s="82">
        <v>20</v>
      </c>
      <c r="F18" s="83">
        <f t="shared" si="2"/>
        <v>20</v>
      </c>
      <c r="G18" s="56" t="s">
        <v>53</v>
      </c>
      <c r="H18" s="57">
        <v>22</v>
      </c>
      <c r="I18" s="58" t="s">
        <v>54</v>
      </c>
      <c r="J18" s="53">
        <v>3</v>
      </c>
      <c r="K18" s="54">
        <v>20</v>
      </c>
      <c r="L18" s="60">
        <f t="shared" si="3"/>
        <v>20</v>
      </c>
      <c r="M18" s="59" t="s">
        <v>55</v>
      </c>
      <c r="N18" s="37"/>
      <c r="O18" s="37"/>
      <c r="P18" s="37"/>
      <c r="Q18" s="37"/>
      <c r="R18" s="37"/>
      <c r="S18" s="37"/>
      <c r="T18" s="37"/>
      <c r="U18" s="37"/>
      <c r="V18" s="37"/>
      <c r="W18" s="37"/>
      <c r="X18" s="37"/>
      <c r="Y18" s="37"/>
      <c r="Z18" s="37"/>
    </row>
    <row r="19" spans="1:26" ht="60.75" customHeight="1" x14ac:dyDescent="0.25">
      <c r="A19" s="37"/>
      <c r="B19" s="37">
        <v>9</v>
      </c>
      <c r="C19" s="61" t="s">
        <v>56</v>
      </c>
      <c r="D19" s="53">
        <v>3</v>
      </c>
      <c r="E19" s="82">
        <v>20</v>
      </c>
      <c r="F19" s="83">
        <f t="shared" si="2"/>
        <v>20</v>
      </c>
      <c r="G19" s="56" t="s">
        <v>57</v>
      </c>
      <c r="H19" s="57">
        <v>23</v>
      </c>
      <c r="I19" s="58" t="s">
        <v>58</v>
      </c>
      <c r="J19" s="53">
        <v>1</v>
      </c>
      <c r="K19" s="54">
        <v>20</v>
      </c>
      <c r="L19" s="60">
        <f t="shared" si="3"/>
        <v>6.666666666666667</v>
      </c>
      <c r="M19" s="59" t="s">
        <v>59</v>
      </c>
      <c r="N19" s="37"/>
      <c r="O19" s="37"/>
      <c r="P19" s="37"/>
      <c r="Q19" s="37"/>
      <c r="R19" s="37"/>
      <c r="S19" s="37"/>
      <c r="T19" s="37"/>
      <c r="U19" s="37"/>
      <c r="V19" s="37"/>
      <c r="W19" s="37"/>
      <c r="X19" s="37"/>
      <c r="Y19" s="37"/>
      <c r="Z19" s="37"/>
    </row>
    <row r="20" spans="1:26" ht="60" customHeight="1" x14ac:dyDescent="0.25">
      <c r="A20" s="37"/>
      <c r="B20" s="37">
        <v>10</v>
      </c>
      <c r="C20" s="84" t="s">
        <v>60</v>
      </c>
      <c r="D20" s="85">
        <v>2</v>
      </c>
      <c r="E20" s="86">
        <v>20</v>
      </c>
      <c r="F20" s="87">
        <f t="shared" si="2"/>
        <v>13.333333333333334</v>
      </c>
      <c r="G20" s="56" t="s">
        <v>61</v>
      </c>
      <c r="H20" s="57">
        <v>24</v>
      </c>
      <c r="I20" s="58" t="s">
        <v>62</v>
      </c>
      <c r="J20" s="53">
        <v>2</v>
      </c>
      <c r="K20" s="54">
        <v>20</v>
      </c>
      <c r="L20" s="60">
        <f t="shared" si="3"/>
        <v>13.333333333333334</v>
      </c>
      <c r="M20" s="59" t="s">
        <v>63</v>
      </c>
      <c r="N20" s="37"/>
      <c r="O20" s="37"/>
      <c r="P20" s="37"/>
      <c r="Q20" s="37"/>
      <c r="R20" s="37"/>
      <c r="S20" s="37"/>
      <c r="T20" s="37"/>
      <c r="U20" s="37"/>
      <c r="V20" s="37"/>
      <c r="W20" s="37"/>
      <c r="X20" s="37"/>
      <c r="Y20" s="37"/>
      <c r="Z20" s="37"/>
    </row>
    <row r="21" spans="1:26" ht="15.75" customHeight="1" x14ac:dyDescent="0.25">
      <c r="A21" s="37"/>
      <c r="B21" s="37"/>
      <c r="C21" s="58" t="s">
        <v>64</v>
      </c>
      <c r="D21" s="88"/>
      <c r="E21" s="82">
        <f>SUM(E16:E20)</f>
        <v>100</v>
      </c>
      <c r="F21" s="82">
        <f>(SUM(F16:F20))/10</f>
        <v>8</v>
      </c>
      <c r="G21" s="59"/>
      <c r="H21" s="37"/>
      <c r="I21" s="89" t="s">
        <v>43</v>
      </c>
      <c r="J21" s="90"/>
      <c r="K21" s="91">
        <f>SUM(K16:K20)</f>
        <v>100</v>
      </c>
      <c r="L21" s="92">
        <f>(SUM(L16:L20))/10</f>
        <v>6.666666666666667</v>
      </c>
      <c r="M21" s="59"/>
      <c r="N21" s="37"/>
      <c r="O21" s="37"/>
      <c r="P21" s="37"/>
      <c r="Q21" s="37"/>
      <c r="R21" s="37"/>
      <c r="S21" s="37"/>
      <c r="T21" s="37"/>
      <c r="U21" s="37"/>
      <c r="V21" s="37"/>
      <c r="W21" s="37"/>
      <c r="X21" s="37"/>
      <c r="Y21" s="37"/>
      <c r="Z21" s="37"/>
    </row>
    <row r="22" spans="1:26" ht="27" customHeight="1" x14ac:dyDescent="0.25">
      <c r="A22" s="37"/>
      <c r="B22" s="37"/>
      <c r="C22" s="37"/>
      <c r="D22" s="37"/>
      <c r="E22" s="37"/>
      <c r="F22" s="37"/>
      <c r="G22" s="37"/>
      <c r="H22" s="37"/>
      <c r="I22" s="37"/>
      <c r="J22" s="37"/>
      <c r="K22" s="37"/>
      <c r="L22" s="37"/>
      <c r="N22" s="37"/>
      <c r="O22" s="37"/>
      <c r="P22" s="37"/>
      <c r="Q22" s="37"/>
      <c r="R22" s="37"/>
      <c r="S22" s="37"/>
      <c r="T22" s="37"/>
      <c r="U22" s="37"/>
      <c r="V22" s="37"/>
      <c r="W22" s="37"/>
      <c r="X22" s="37"/>
      <c r="Y22" s="37"/>
      <c r="Z22" s="37"/>
    </row>
    <row r="23" spans="1:26" ht="70.5" customHeight="1" x14ac:dyDescent="0.25">
      <c r="A23" s="37"/>
      <c r="B23" s="37"/>
      <c r="C23" s="93" t="str">
        <f>'Visual Summary'!B7</f>
        <v xml:space="preserve">Green Growth Potential </v>
      </c>
      <c r="D23" s="94" t="s">
        <v>19</v>
      </c>
      <c r="E23" s="95" t="s">
        <v>20</v>
      </c>
      <c r="F23" s="96" t="s">
        <v>21</v>
      </c>
      <c r="G23" s="96" t="s">
        <v>22</v>
      </c>
      <c r="H23" s="37"/>
      <c r="I23" s="97" t="str">
        <f>'Visual Summary'!B11</f>
        <v xml:space="preserve">Quick Win Potential </v>
      </c>
      <c r="J23" s="98" t="s">
        <v>19</v>
      </c>
      <c r="K23" s="99" t="s">
        <v>20</v>
      </c>
      <c r="L23" s="100" t="s">
        <v>21</v>
      </c>
      <c r="M23" s="101" t="s">
        <v>22</v>
      </c>
      <c r="N23" s="37"/>
      <c r="O23" s="37"/>
      <c r="P23" s="37"/>
      <c r="Q23" s="37"/>
      <c r="R23" s="37"/>
      <c r="S23" s="37"/>
      <c r="T23" s="37"/>
      <c r="U23" s="37"/>
      <c r="V23" s="37"/>
      <c r="W23" s="37"/>
      <c r="X23" s="37"/>
      <c r="Y23" s="37"/>
      <c r="Z23" s="37"/>
    </row>
    <row r="24" spans="1:26" ht="78.75" x14ac:dyDescent="0.25">
      <c r="A24" s="37"/>
      <c r="B24" s="37">
        <v>6</v>
      </c>
      <c r="C24" s="58" t="s">
        <v>65</v>
      </c>
      <c r="D24" s="53">
        <v>1</v>
      </c>
      <c r="E24" s="82">
        <v>20</v>
      </c>
      <c r="F24" s="83">
        <f t="shared" ref="F24:F28" si="4">(((D24*E24)/3))</f>
        <v>6.666666666666667</v>
      </c>
      <c r="G24" s="102" t="s">
        <v>66</v>
      </c>
      <c r="H24" s="57">
        <v>20</v>
      </c>
      <c r="I24" s="58" t="s">
        <v>67</v>
      </c>
      <c r="J24" s="53">
        <v>3</v>
      </c>
      <c r="K24" s="54">
        <v>10</v>
      </c>
      <c r="L24" s="55">
        <f t="shared" ref="L24:L28" si="5">(((J24*K24)/3))</f>
        <v>10</v>
      </c>
      <c r="M24" s="59" t="s">
        <v>68</v>
      </c>
      <c r="N24" s="37"/>
      <c r="O24" s="37"/>
      <c r="P24" s="37"/>
      <c r="Q24" s="37"/>
      <c r="R24" s="37"/>
      <c r="S24" s="37"/>
      <c r="T24" s="37"/>
      <c r="U24" s="37"/>
      <c r="V24" s="37"/>
      <c r="W24" s="37"/>
      <c r="X24" s="37"/>
      <c r="Y24" s="37"/>
      <c r="Z24" s="37"/>
    </row>
    <row r="25" spans="1:26" ht="83.25" customHeight="1" x14ac:dyDescent="0.25">
      <c r="A25" s="37"/>
      <c r="B25" s="37">
        <v>7</v>
      </c>
      <c r="C25" s="58" t="s">
        <v>69</v>
      </c>
      <c r="D25" s="53">
        <v>3</v>
      </c>
      <c r="E25" s="82">
        <v>20</v>
      </c>
      <c r="F25" s="83">
        <f t="shared" si="4"/>
        <v>20</v>
      </c>
      <c r="G25" s="102" t="s">
        <v>70</v>
      </c>
      <c r="H25" s="57">
        <v>21</v>
      </c>
      <c r="I25" s="58" t="s">
        <v>71</v>
      </c>
      <c r="J25" s="53">
        <v>3</v>
      </c>
      <c r="K25" s="54">
        <v>15</v>
      </c>
      <c r="L25" s="60">
        <f t="shared" si="5"/>
        <v>15</v>
      </c>
      <c r="M25" s="59" t="s">
        <v>72</v>
      </c>
      <c r="N25" s="37"/>
      <c r="O25" s="37"/>
      <c r="P25" s="37"/>
      <c r="Q25" s="37"/>
      <c r="R25" s="37"/>
      <c r="S25" s="37"/>
      <c r="T25" s="37"/>
      <c r="U25" s="37"/>
      <c r="V25" s="37"/>
      <c r="W25" s="37"/>
      <c r="X25" s="37"/>
      <c r="Y25" s="37"/>
      <c r="Z25" s="37"/>
    </row>
    <row r="26" spans="1:26" ht="63" x14ac:dyDescent="0.25">
      <c r="A26" s="37"/>
      <c r="B26" s="37">
        <v>8</v>
      </c>
      <c r="C26" s="58" t="s">
        <v>73</v>
      </c>
      <c r="D26" s="53">
        <v>3</v>
      </c>
      <c r="E26" s="82">
        <v>20</v>
      </c>
      <c r="F26" s="83">
        <f t="shared" si="4"/>
        <v>20</v>
      </c>
      <c r="G26" s="102" t="s">
        <v>74</v>
      </c>
      <c r="H26" s="57">
        <v>22</v>
      </c>
      <c r="I26" s="58" t="s">
        <v>75</v>
      </c>
      <c r="J26" s="53">
        <v>3</v>
      </c>
      <c r="K26" s="54">
        <v>20</v>
      </c>
      <c r="L26" s="60">
        <f t="shared" si="5"/>
        <v>20</v>
      </c>
      <c r="M26" s="59" t="s">
        <v>76</v>
      </c>
      <c r="N26" s="37"/>
      <c r="O26" s="37"/>
      <c r="P26" s="37"/>
      <c r="Q26" s="37"/>
      <c r="R26" s="37"/>
      <c r="S26" s="37"/>
      <c r="T26" s="37"/>
      <c r="U26" s="37"/>
      <c r="V26" s="37"/>
      <c r="W26" s="37"/>
      <c r="X26" s="37"/>
      <c r="Y26" s="37"/>
      <c r="Z26" s="37"/>
    </row>
    <row r="27" spans="1:26" ht="60.75" customHeight="1" x14ac:dyDescent="0.25">
      <c r="A27" s="37"/>
      <c r="B27" s="37">
        <v>9</v>
      </c>
      <c r="C27" s="58" t="s">
        <v>77</v>
      </c>
      <c r="D27" s="53">
        <v>3</v>
      </c>
      <c r="E27" s="82">
        <v>20</v>
      </c>
      <c r="F27" s="83">
        <f t="shared" si="4"/>
        <v>20</v>
      </c>
      <c r="G27" s="102" t="s">
        <v>78</v>
      </c>
      <c r="H27" s="57">
        <v>23</v>
      </c>
      <c r="I27" s="58" t="s">
        <v>79</v>
      </c>
      <c r="J27" s="53">
        <v>2</v>
      </c>
      <c r="K27" s="54">
        <v>25</v>
      </c>
      <c r="L27" s="60">
        <f t="shared" si="5"/>
        <v>16.666666666666668</v>
      </c>
      <c r="M27" s="59" t="s">
        <v>80</v>
      </c>
      <c r="N27" s="37"/>
      <c r="O27" s="37"/>
      <c r="P27" s="37"/>
      <c r="Q27" s="37"/>
      <c r="R27" s="37"/>
      <c r="S27" s="37"/>
      <c r="T27" s="37"/>
      <c r="U27" s="37"/>
      <c r="V27" s="37"/>
      <c r="W27" s="37"/>
      <c r="X27" s="37"/>
      <c r="Y27" s="37"/>
      <c r="Z27" s="37"/>
    </row>
    <row r="28" spans="1:26" ht="60" customHeight="1" x14ac:dyDescent="0.25">
      <c r="A28" s="37"/>
      <c r="B28" s="37">
        <v>10</v>
      </c>
      <c r="C28" s="58" t="s">
        <v>81</v>
      </c>
      <c r="D28" s="53">
        <v>2</v>
      </c>
      <c r="E28" s="82">
        <v>20</v>
      </c>
      <c r="F28" s="83">
        <f t="shared" si="4"/>
        <v>13.333333333333334</v>
      </c>
      <c r="G28" s="102" t="s">
        <v>82</v>
      </c>
      <c r="H28" s="57">
        <v>24</v>
      </c>
      <c r="I28" s="58" t="s">
        <v>83</v>
      </c>
      <c r="J28" s="53">
        <v>2</v>
      </c>
      <c r="K28" s="54">
        <v>30</v>
      </c>
      <c r="L28" s="60">
        <f t="shared" si="5"/>
        <v>20</v>
      </c>
      <c r="M28" s="59" t="s">
        <v>84</v>
      </c>
      <c r="N28" s="37"/>
      <c r="O28" s="37"/>
      <c r="P28" s="37"/>
      <c r="Q28" s="37"/>
      <c r="R28" s="37"/>
      <c r="S28" s="37"/>
      <c r="T28" s="37"/>
      <c r="U28" s="37"/>
      <c r="V28" s="37"/>
      <c r="W28" s="37"/>
      <c r="X28" s="37"/>
      <c r="Y28" s="37"/>
      <c r="Z28" s="37"/>
    </row>
    <row r="29" spans="1:26" ht="15.75" customHeight="1" x14ac:dyDescent="0.25">
      <c r="A29" s="37"/>
      <c r="B29" s="37"/>
      <c r="C29" s="103" t="s">
        <v>64</v>
      </c>
      <c r="D29" s="104"/>
      <c r="E29" s="105">
        <f>SUM(E24:E28)</f>
        <v>100</v>
      </c>
      <c r="F29" s="105">
        <f>(SUM(F24:F28))/10</f>
        <v>8</v>
      </c>
      <c r="G29" s="106"/>
      <c r="H29" s="37"/>
      <c r="I29" s="89" t="s">
        <v>43</v>
      </c>
      <c r="J29" s="90"/>
      <c r="K29" s="91">
        <f>SUM(K24:K28)</f>
        <v>100</v>
      </c>
      <c r="L29" s="92">
        <f>(SUM(L24:L28))/10</f>
        <v>8.1666666666666679</v>
      </c>
      <c r="M29" s="59"/>
      <c r="N29" s="37"/>
      <c r="O29" s="37"/>
      <c r="P29" s="37"/>
      <c r="Q29" s="37"/>
      <c r="R29" s="37"/>
      <c r="S29" s="37"/>
      <c r="T29" s="37"/>
      <c r="U29" s="37"/>
      <c r="V29" s="37"/>
      <c r="W29" s="37"/>
      <c r="X29" s="37"/>
      <c r="Y29" s="37"/>
      <c r="Z29" s="37"/>
    </row>
    <row r="30" spans="1:26" ht="31.5" customHeight="1" x14ac:dyDescent="0.25">
      <c r="A30" s="37"/>
      <c r="B30" s="37"/>
      <c r="C30" s="107"/>
      <c r="D30" s="108"/>
      <c r="E30" s="107"/>
      <c r="F30" s="107"/>
      <c r="G30" s="107"/>
      <c r="H30" s="37"/>
      <c r="I30" s="41"/>
      <c r="J30" s="41"/>
      <c r="K30" s="41"/>
      <c r="L30" s="41"/>
      <c r="M30" s="37"/>
      <c r="N30" s="37"/>
      <c r="O30" s="37"/>
      <c r="P30" s="37"/>
      <c r="Q30" s="37"/>
      <c r="R30" s="37"/>
      <c r="S30" s="37"/>
      <c r="T30" s="37"/>
      <c r="U30" s="37"/>
      <c r="V30" s="37"/>
      <c r="W30" s="37"/>
      <c r="X30" s="37"/>
      <c r="Y30" s="37"/>
      <c r="Z30" s="37"/>
    </row>
    <row r="31" spans="1:26" ht="31.5" customHeight="1" x14ac:dyDescent="0.25">
      <c r="A31" s="37"/>
      <c r="B31" s="37"/>
      <c r="C31" s="109" t="str">
        <f>'Visual Summary'!B8</f>
        <v xml:space="preserve">Systemic Change Potential </v>
      </c>
      <c r="D31" s="110" t="s">
        <v>19</v>
      </c>
      <c r="E31" s="111" t="s">
        <v>20</v>
      </c>
      <c r="F31" s="112" t="s">
        <v>21</v>
      </c>
      <c r="G31" s="112" t="s">
        <v>22</v>
      </c>
      <c r="H31" s="37"/>
      <c r="I31" s="113" t="s">
        <v>85</v>
      </c>
      <c r="J31" s="113"/>
      <c r="K31" s="113"/>
      <c r="L31" s="113" t="s">
        <v>21</v>
      </c>
      <c r="M31" s="37"/>
      <c r="N31" s="114" t="s">
        <v>86</v>
      </c>
      <c r="O31" s="115" t="s">
        <v>87</v>
      </c>
      <c r="P31" s="116" t="s">
        <v>21</v>
      </c>
      <c r="Q31" s="37"/>
      <c r="R31" s="37"/>
      <c r="S31" s="37"/>
      <c r="T31" s="37"/>
      <c r="U31" s="37"/>
      <c r="V31" s="37"/>
      <c r="W31" s="37"/>
      <c r="X31" s="37"/>
      <c r="Y31" s="37"/>
      <c r="Z31" s="37"/>
    </row>
    <row r="32" spans="1:26" ht="94.5" x14ac:dyDescent="0.35">
      <c r="A32" s="37"/>
      <c r="B32" s="37">
        <v>11</v>
      </c>
      <c r="C32" s="58" t="s">
        <v>88</v>
      </c>
      <c r="D32" s="53">
        <v>3</v>
      </c>
      <c r="E32" s="54">
        <v>20</v>
      </c>
      <c r="F32" s="117">
        <f t="shared" ref="F32:F36" si="6">(((D32*E32)/3))</f>
        <v>20</v>
      </c>
      <c r="G32" s="118" t="s">
        <v>89</v>
      </c>
      <c r="H32" s="37"/>
      <c r="I32" s="119" t="str">
        <f>C6</f>
        <v xml:space="preserve">Economic Potential </v>
      </c>
      <c r="J32" s="119"/>
      <c r="K32" s="119"/>
      <c r="L32" s="120">
        <f>F12</f>
        <v>8.9999999999999982</v>
      </c>
      <c r="M32" s="121"/>
      <c r="N32" s="122">
        <v>25</v>
      </c>
      <c r="O32" s="123">
        <v>0.9</v>
      </c>
      <c r="P32" s="122">
        <f t="shared" ref="P32:P38" si="7">N32*O32</f>
        <v>22.5</v>
      </c>
      <c r="Q32" s="37"/>
      <c r="R32" s="37"/>
      <c r="S32" s="37"/>
      <c r="T32" s="37"/>
      <c r="U32" s="37"/>
      <c r="V32" s="37"/>
      <c r="W32" s="37"/>
      <c r="X32" s="37"/>
      <c r="Y32" s="37"/>
      <c r="Z32" s="37"/>
    </row>
    <row r="33" spans="1:26" ht="78" customHeight="1" x14ac:dyDescent="0.35">
      <c r="A33" s="37"/>
      <c r="B33" s="37">
        <v>12</v>
      </c>
      <c r="C33" s="58" t="s">
        <v>90</v>
      </c>
      <c r="D33" s="53">
        <v>3</v>
      </c>
      <c r="E33" s="54">
        <v>20</v>
      </c>
      <c r="F33" s="117">
        <f t="shared" si="6"/>
        <v>20</v>
      </c>
      <c r="G33" s="118" t="s">
        <v>91</v>
      </c>
      <c r="H33" s="37"/>
      <c r="I33" s="119" t="str">
        <f>'Visual Summary'!B6</f>
        <v xml:space="preserve">Pro-Poor Potential </v>
      </c>
      <c r="J33" s="119"/>
      <c r="K33" s="119"/>
      <c r="L33" s="120">
        <f>F21</f>
        <v>8</v>
      </c>
      <c r="M33" s="121"/>
      <c r="N33" s="122">
        <v>20</v>
      </c>
      <c r="O33" s="123">
        <v>0.8</v>
      </c>
      <c r="P33" s="122">
        <f t="shared" si="7"/>
        <v>16</v>
      </c>
      <c r="Q33" s="37"/>
      <c r="R33" s="37"/>
      <c r="S33" s="37"/>
      <c r="T33" s="37"/>
      <c r="U33" s="37"/>
      <c r="V33" s="37"/>
      <c r="W33" s="37"/>
      <c r="X33" s="37"/>
      <c r="Y33" s="37"/>
      <c r="Z33" s="37"/>
    </row>
    <row r="34" spans="1:26" ht="69.75" customHeight="1" x14ac:dyDescent="0.35">
      <c r="A34" s="37"/>
      <c r="B34" s="37">
        <v>13</v>
      </c>
      <c r="C34" s="58" t="s">
        <v>92</v>
      </c>
      <c r="D34" s="53">
        <v>2</v>
      </c>
      <c r="E34" s="54">
        <v>20</v>
      </c>
      <c r="F34" s="117">
        <f t="shared" si="6"/>
        <v>13.333333333333334</v>
      </c>
      <c r="G34" s="118" t="s">
        <v>93</v>
      </c>
      <c r="H34" s="37"/>
      <c r="I34" s="119" t="str">
        <f>'Visual Summary'!B7</f>
        <v xml:space="preserve">Green Growth Potential </v>
      </c>
      <c r="J34" s="119"/>
      <c r="K34" s="119"/>
      <c r="L34" s="120">
        <f>F29</f>
        <v>8</v>
      </c>
      <c r="M34" s="121"/>
      <c r="N34" s="122">
        <v>20</v>
      </c>
      <c r="O34" s="123">
        <v>0.8</v>
      </c>
      <c r="P34" s="122">
        <f t="shared" si="7"/>
        <v>16</v>
      </c>
      <c r="Q34" s="37"/>
      <c r="R34" s="37"/>
      <c r="S34" s="37"/>
      <c r="T34" s="37"/>
      <c r="U34" s="37"/>
      <c r="V34" s="37"/>
      <c r="W34" s="37"/>
      <c r="X34" s="37"/>
      <c r="Y34" s="37"/>
      <c r="Z34" s="37"/>
    </row>
    <row r="35" spans="1:26" ht="88.5" customHeight="1" x14ac:dyDescent="0.35">
      <c r="A35" s="37"/>
      <c r="B35" s="37">
        <v>14</v>
      </c>
      <c r="C35" s="58" t="s">
        <v>94</v>
      </c>
      <c r="D35" s="53">
        <v>3</v>
      </c>
      <c r="E35" s="54">
        <v>20</v>
      </c>
      <c r="F35" s="117">
        <f t="shared" si="6"/>
        <v>20</v>
      </c>
      <c r="G35" s="118" t="s">
        <v>95</v>
      </c>
      <c r="H35" s="37"/>
      <c r="I35" s="119" t="str">
        <f>'Visual Summary'!B8</f>
        <v xml:space="preserve">Systemic Change Potential </v>
      </c>
      <c r="J35" s="119"/>
      <c r="K35" s="119"/>
      <c r="L35" s="120">
        <f>F37</f>
        <v>9.3333333333333339</v>
      </c>
      <c r="M35" s="121"/>
      <c r="N35" s="122">
        <v>10</v>
      </c>
      <c r="O35" s="123">
        <v>0.93</v>
      </c>
      <c r="P35" s="122">
        <f t="shared" si="7"/>
        <v>9.3000000000000007</v>
      </c>
      <c r="Q35" s="37"/>
      <c r="R35" s="37"/>
      <c r="S35" s="37"/>
      <c r="T35" s="37"/>
      <c r="U35" s="37"/>
      <c r="V35" s="37"/>
      <c r="W35" s="37"/>
      <c r="X35" s="37"/>
      <c r="Y35" s="37"/>
      <c r="Z35" s="37"/>
    </row>
    <row r="36" spans="1:26" ht="88.5" customHeight="1" x14ac:dyDescent="0.35">
      <c r="A36" s="37"/>
      <c r="B36" s="37">
        <v>15</v>
      </c>
      <c r="C36" s="58" t="s">
        <v>96</v>
      </c>
      <c r="D36" s="53">
        <v>3</v>
      </c>
      <c r="E36" s="54">
        <v>20</v>
      </c>
      <c r="F36" s="117">
        <f t="shared" si="6"/>
        <v>20</v>
      </c>
      <c r="G36" s="118" t="s">
        <v>97</v>
      </c>
      <c r="H36" s="37"/>
      <c r="I36" s="119" t="str">
        <f>'Visual Summary'!B9</f>
        <v>PWD Opportunities</v>
      </c>
      <c r="J36" s="124"/>
      <c r="K36" s="124"/>
      <c r="L36" s="125">
        <f>L12</f>
        <v>2.666666666666667</v>
      </c>
      <c r="M36" s="121"/>
      <c r="N36" s="122">
        <v>5</v>
      </c>
      <c r="O36" s="123">
        <v>0.27</v>
      </c>
      <c r="P36" s="122">
        <f t="shared" si="7"/>
        <v>1.35</v>
      </c>
      <c r="Q36" s="37"/>
      <c r="R36" s="37"/>
      <c r="S36" s="37"/>
      <c r="T36" s="37"/>
      <c r="U36" s="37"/>
      <c r="V36" s="37"/>
      <c r="W36" s="37"/>
      <c r="X36" s="37"/>
      <c r="Y36" s="37"/>
      <c r="Z36" s="37"/>
    </row>
    <row r="37" spans="1:26" ht="63" customHeight="1" x14ac:dyDescent="0.35">
      <c r="A37" s="37"/>
      <c r="B37" s="37"/>
      <c r="C37" s="67" t="s">
        <v>43</v>
      </c>
      <c r="D37" s="68"/>
      <c r="E37" s="126">
        <f>SUM(E32:E36)</f>
        <v>100</v>
      </c>
      <c r="F37" s="127">
        <f>(SUM(F32:F36))/10</f>
        <v>9.3333333333333339</v>
      </c>
      <c r="G37" s="128"/>
      <c r="H37" s="37"/>
      <c r="I37" s="119" t="str">
        <f>'Visual Summary'!B10</f>
        <v>WEE Opportunitiies</v>
      </c>
      <c r="J37" s="129"/>
      <c r="K37" s="129"/>
      <c r="L37" s="120">
        <f>L21</f>
        <v>6.666666666666667</v>
      </c>
      <c r="M37" s="121"/>
      <c r="N37" s="122">
        <v>10</v>
      </c>
      <c r="O37" s="123">
        <v>0.67</v>
      </c>
      <c r="P37" s="122">
        <f t="shared" si="7"/>
        <v>6.7</v>
      </c>
      <c r="Q37" s="37"/>
      <c r="R37" s="37"/>
      <c r="S37" s="37"/>
      <c r="T37" s="37"/>
      <c r="U37" s="37"/>
      <c r="V37" s="37"/>
      <c r="W37" s="37"/>
      <c r="X37" s="37"/>
      <c r="Y37" s="37"/>
      <c r="Z37" s="37"/>
    </row>
    <row r="38" spans="1:26" ht="61.5" customHeight="1" x14ac:dyDescent="0.35">
      <c r="A38" s="37"/>
      <c r="B38" s="37"/>
      <c r="C38" s="37"/>
      <c r="D38" s="37"/>
      <c r="E38" s="37"/>
      <c r="F38" s="37"/>
      <c r="G38" s="37"/>
      <c r="H38" s="37"/>
      <c r="I38" s="119" t="str">
        <f>'Visual Summary'!B11</f>
        <v xml:space="preserve">Quick Win Potential </v>
      </c>
      <c r="J38" s="129"/>
      <c r="K38" s="129"/>
      <c r="L38" s="120">
        <f>L29</f>
        <v>8.1666666666666679</v>
      </c>
      <c r="M38" s="121"/>
      <c r="N38" s="122">
        <v>10</v>
      </c>
      <c r="O38" s="123">
        <v>0.82</v>
      </c>
      <c r="P38" s="122">
        <f t="shared" si="7"/>
        <v>8.1999999999999993</v>
      </c>
      <c r="Q38" s="37"/>
      <c r="R38" s="37"/>
      <c r="S38" s="37"/>
      <c r="T38" s="37"/>
      <c r="U38" s="37"/>
      <c r="V38" s="37"/>
      <c r="W38" s="37"/>
      <c r="X38" s="37"/>
      <c r="Y38" s="37"/>
      <c r="Z38" s="37"/>
    </row>
    <row r="39" spans="1:26" ht="15.75" customHeight="1" x14ac:dyDescent="0.25">
      <c r="A39" s="37"/>
      <c r="B39" s="37"/>
      <c r="C39" s="37"/>
      <c r="D39" s="37"/>
      <c r="E39" s="37"/>
      <c r="F39" s="37"/>
      <c r="G39" s="37"/>
      <c r="H39" s="37"/>
      <c r="I39" s="37"/>
      <c r="J39" s="37"/>
      <c r="K39" s="37"/>
      <c r="L39" s="37"/>
      <c r="M39" s="37"/>
      <c r="N39" s="130"/>
      <c r="O39" s="130" t="s">
        <v>43</v>
      </c>
      <c r="P39" s="130">
        <f>SUM(P32:P38)</f>
        <v>80.05</v>
      </c>
      <c r="Q39" s="37"/>
      <c r="R39" s="37"/>
      <c r="S39" s="37"/>
      <c r="T39" s="37"/>
      <c r="U39" s="37"/>
      <c r="V39" s="37"/>
      <c r="W39" s="37"/>
      <c r="X39" s="37"/>
      <c r="Y39" s="37"/>
      <c r="Z39" s="37"/>
    </row>
    <row r="40" spans="1:26" ht="15.75" customHeight="1" x14ac:dyDescent="0.25">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row>
    <row r="41" spans="1:26" ht="15.75" customHeight="1" x14ac:dyDescent="0.25">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row>
    <row r="42" spans="1:26" ht="15.75" customHeight="1" x14ac:dyDescent="0.25">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ht="15.75" customHeight="1" x14ac:dyDescent="0.25">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row>
    <row r="44" spans="1:26" ht="15.75" customHeight="1" x14ac:dyDescent="0.25">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row>
    <row r="45" spans="1:26" ht="15.75" customHeight="1" x14ac:dyDescent="0.25">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ht="15.75" customHeight="1" x14ac:dyDescent="0.25">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ht="15.75" customHeight="1" x14ac:dyDescent="0.25">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ht="15.75" customHeight="1" x14ac:dyDescent="0.25">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ht="15.75" customHeight="1" x14ac:dyDescent="0.25">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ht="15.75" customHeight="1" x14ac:dyDescent="0.25">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ht="15.75" customHeight="1" x14ac:dyDescent="0.25">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ht="15.75" customHeight="1" x14ac:dyDescent="0.25">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ht="15.75" customHeight="1" x14ac:dyDescent="0.25">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ht="15.75" customHeight="1" x14ac:dyDescent="0.25">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ht="15.75" customHeight="1" x14ac:dyDescent="0.25">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ht="15.75" customHeight="1" x14ac:dyDescent="0.25">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ht="15.75" customHeight="1" x14ac:dyDescent="0.25">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ht="15.75" customHeight="1" x14ac:dyDescent="0.25">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ht="15.75" customHeight="1" x14ac:dyDescent="0.25">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ht="15.75" customHeight="1" x14ac:dyDescent="0.25">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ht="15.75" customHeight="1" x14ac:dyDescent="0.25">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ht="15.75" customHeight="1" x14ac:dyDescent="0.25">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ht="15.75" customHeight="1" x14ac:dyDescent="0.25">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ht="15.75" customHeight="1" x14ac:dyDescent="0.25">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ht="15.75" customHeight="1" x14ac:dyDescent="0.25">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ht="15.75" customHeight="1" x14ac:dyDescent="0.25">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ht="15.75" customHeight="1" x14ac:dyDescent="0.25">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ht="15.75" customHeight="1" x14ac:dyDescent="0.25">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ht="15.75" customHeight="1" x14ac:dyDescent="0.25">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ht="15.75" customHeight="1" x14ac:dyDescent="0.25">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ht="15.75" customHeight="1" x14ac:dyDescent="0.25">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ht="15.75" customHeight="1" x14ac:dyDescent="0.25">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ht="15.75" customHeight="1" x14ac:dyDescent="0.25">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ht="15.75" customHeight="1" x14ac:dyDescent="0.25">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ht="15.75" customHeight="1" x14ac:dyDescent="0.25">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ht="15.75" customHeight="1" x14ac:dyDescent="0.25">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ht="15.75" customHeight="1" x14ac:dyDescent="0.25">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ht="15.75" customHeight="1" x14ac:dyDescent="0.25">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ht="15.75" customHeight="1" x14ac:dyDescent="0.25">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ht="15.75" customHeight="1" x14ac:dyDescent="0.25">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ht="15.75" customHeight="1" x14ac:dyDescent="0.25">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ht="15.75" customHeight="1" x14ac:dyDescent="0.25">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ht="15.75" customHeight="1" x14ac:dyDescent="0.25">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ht="15.75" customHeight="1" x14ac:dyDescent="0.25">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ht="15.75" customHeight="1" x14ac:dyDescent="0.25">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ht="15.75" customHeight="1" x14ac:dyDescent="0.25">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ht="15.75" customHeight="1" x14ac:dyDescent="0.25">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ht="15.75" customHeight="1" x14ac:dyDescent="0.25">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ht="15.75" customHeight="1" x14ac:dyDescent="0.25">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ht="15.75" customHeight="1" x14ac:dyDescent="0.25">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ht="15.75" customHeight="1" x14ac:dyDescent="0.25">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ht="15.75" customHeight="1" x14ac:dyDescent="0.25">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ht="15.75" customHeight="1" x14ac:dyDescent="0.25">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ht="15.75" customHeight="1" x14ac:dyDescent="0.25">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ht="15.75" customHeight="1" x14ac:dyDescent="0.25">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ht="15.75" customHeight="1" x14ac:dyDescent="0.25">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ht="15.75" customHeight="1" x14ac:dyDescent="0.25">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ht="15.75" customHeight="1" x14ac:dyDescent="0.25">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ht="15.75" customHeight="1" x14ac:dyDescent="0.25">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ht="15.75" customHeight="1" x14ac:dyDescent="0.25">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ht="15.75" customHeight="1" x14ac:dyDescent="0.25">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ht="15.75" customHeight="1" x14ac:dyDescent="0.25">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ht="15.75" customHeight="1" x14ac:dyDescent="0.25">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ht="15.75" customHeight="1" x14ac:dyDescent="0.25">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ht="15.75" customHeight="1" x14ac:dyDescent="0.2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ht="15.75" customHeight="1" x14ac:dyDescent="0.25">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ht="15.75" customHeight="1" x14ac:dyDescent="0.25">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ht="15.75" customHeight="1" x14ac:dyDescent="0.25">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ht="15.75" customHeight="1" x14ac:dyDescent="0.25">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ht="15.75" customHeight="1" x14ac:dyDescent="0.25">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ht="15.75" customHeight="1" x14ac:dyDescent="0.25">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ht="15.75" customHeight="1" x14ac:dyDescent="0.25">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ht="15.75" customHeight="1" x14ac:dyDescent="0.25">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ht="15.75" customHeight="1" x14ac:dyDescent="0.25">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ht="15.75" customHeight="1" x14ac:dyDescent="0.2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ht="15.75" customHeight="1" x14ac:dyDescent="0.25">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ht="15.75" customHeight="1" x14ac:dyDescent="0.25">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ht="15.75" customHeight="1" x14ac:dyDescent="0.25">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ht="15.75" customHeight="1" x14ac:dyDescent="0.25">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ht="15.75" customHeight="1" x14ac:dyDescent="0.25">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ht="15.75" customHeight="1" x14ac:dyDescent="0.25">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ht="15.75" customHeight="1" x14ac:dyDescent="0.25">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ht="15.75" customHeight="1" x14ac:dyDescent="0.25">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ht="15.75" customHeight="1" x14ac:dyDescent="0.25">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ht="15.75" customHeight="1" x14ac:dyDescent="0.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ht="15.75" customHeight="1" x14ac:dyDescent="0.25">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ht="15.75" customHeight="1" x14ac:dyDescent="0.25">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ht="15.75" customHeight="1" x14ac:dyDescent="0.25">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ht="15.75" customHeight="1" x14ac:dyDescent="0.25">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ht="15.75" customHeight="1" x14ac:dyDescent="0.25">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ht="15.75" customHeight="1" x14ac:dyDescent="0.25">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ht="15.75" customHeight="1" x14ac:dyDescent="0.25">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ht="15.75" customHeight="1" x14ac:dyDescent="0.25">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ht="15.75" customHeight="1" x14ac:dyDescent="0.25">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ht="15.75" customHeight="1" x14ac:dyDescent="0.2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ht="15.75" customHeight="1" x14ac:dyDescent="0.25">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ht="15.75" customHeight="1" x14ac:dyDescent="0.25">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ht="15.75" customHeight="1" x14ac:dyDescent="0.25">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ht="15.75" customHeight="1" x14ac:dyDescent="0.25">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ht="15.75" customHeight="1" x14ac:dyDescent="0.25">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ht="15.75" customHeight="1" x14ac:dyDescent="0.25">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ht="15.75" customHeight="1" x14ac:dyDescent="0.25">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ht="15.75" customHeight="1" x14ac:dyDescent="0.25">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ht="15.75" customHeight="1" x14ac:dyDescent="0.25">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ht="15.75" customHeight="1" x14ac:dyDescent="0.2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ht="15.75" customHeight="1" x14ac:dyDescent="0.25">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ht="15.75" customHeight="1" x14ac:dyDescent="0.25">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ht="15.75" customHeight="1" x14ac:dyDescent="0.25">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ht="15.75" customHeight="1" x14ac:dyDescent="0.25">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ht="15.75" customHeight="1" x14ac:dyDescent="0.25">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ht="15.75" customHeight="1" x14ac:dyDescent="0.25">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ht="15.75" customHeight="1" x14ac:dyDescent="0.25">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ht="15.75" customHeight="1" x14ac:dyDescent="0.25">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ht="15.75" customHeight="1" x14ac:dyDescent="0.25">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ht="15.75" customHeight="1" x14ac:dyDescent="0.2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ht="15.75" customHeight="1" x14ac:dyDescent="0.25">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ht="15.75" customHeight="1" x14ac:dyDescent="0.25">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ht="15.75" customHeight="1" x14ac:dyDescent="0.25">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ht="15.75" customHeight="1" x14ac:dyDescent="0.25">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ht="15.75" customHeight="1" x14ac:dyDescent="0.25">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ht="15.75" customHeight="1" x14ac:dyDescent="0.25">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ht="15.75" customHeight="1" x14ac:dyDescent="0.25">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ht="15.75" customHeight="1" x14ac:dyDescent="0.25">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ht="15.75" customHeight="1" x14ac:dyDescent="0.25">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ht="15.75" customHeight="1" x14ac:dyDescent="0.2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ht="15.75" customHeight="1" x14ac:dyDescent="0.25">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ht="15.75" customHeight="1" x14ac:dyDescent="0.25">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ht="15.75" customHeight="1" x14ac:dyDescent="0.25">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ht="15.75" customHeight="1" x14ac:dyDescent="0.25">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ht="15.75" customHeight="1" x14ac:dyDescent="0.25">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ht="15.75" customHeight="1" x14ac:dyDescent="0.25">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ht="15.75" customHeight="1" x14ac:dyDescent="0.25">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ht="15.75" customHeight="1" x14ac:dyDescent="0.25">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ht="15.75" customHeight="1" x14ac:dyDescent="0.25">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ht="15.75" customHeight="1" x14ac:dyDescent="0.2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ht="15.75" customHeight="1" x14ac:dyDescent="0.25">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ht="15.75" customHeight="1" x14ac:dyDescent="0.25">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ht="15.75" customHeight="1" x14ac:dyDescent="0.25">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ht="15.75" customHeight="1" x14ac:dyDescent="0.25">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ht="15.75" customHeight="1" x14ac:dyDescent="0.25">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ht="15.75" customHeight="1" x14ac:dyDescent="0.25">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ht="15.75" customHeight="1" x14ac:dyDescent="0.25">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ht="15.75" customHeight="1" x14ac:dyDescent="0.25">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ht="15.75" customHeight="1" x14ac:dyDescent="0.25">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ht="15.75" customHeight="1" x14ac:dyDescent="0.2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ht="15.75" customHeight="1" x14ac:dyDescent="0.25">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ht="15.75" customHeight="1" x14ac:dyDescent="0.25">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ht="15.75" customHeight="1" x14ac:dyDescent="0.25">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ht="15.75" customHeight="1" x14ac:dyDescent="0.25">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ht="15.75" customHeight="1" x14ac:dyDescent="0.25">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ht="15.75" customHeight="1" x14ac:dyDescent="0.25">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ht="15.75" customHeight="1" x14ac:dyDescent="0.25">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ht="15.75" customHeight="1" x14ac:dyDescent="0.25">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ht="15.75" customHeight="1" x14ac:dyDescent="0.25">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ht="15.75" customHeight="1" x14ac:dyDescent="0.2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ht="15.75" customHeight="1" x14ac:dyDescent="0.25">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ht="15.75" customHeight="1" x14ac:dyDescent="0.25">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ht="15.75" customHeight="1" x14ac:dyDescent="0.25">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ht="15.75" customHeight="1" x14ac:dyDescent="0.25">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ht="15.75" customHeight="1" x14ac:dyDescent="0.25">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ht="15.75" customHeight="1" x14ac:dyDescent="0.25">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ht="15.75" customHeight="1" x14ac:dyDescent="0.25">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ht="15.75" customHeight="1" x14ac:dyDescent="0.25">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ht="15.75" customHeight="1" x14ac:dyDescent="0.25">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ht="15.75" customHeight="1" x14ac:dyDescent="0.2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ht="15.75" customHeight="1" x14ac:dyDescent="0.25">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ht="15.75" customHeight="1" x14ac:dyDescent="0.25">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ht="15.75" customHeight="1" x14ac:dyDescent="0.25">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ht="15.75" customHeight="1" x14ac:dyDescent="0.25">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ht="15.75" customHeight="1" x14ac:dyDescent="0.25">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ht="15.75" customHeight="1" x14ac:dyDescent="0.25">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ht="15.75" customHeight="1" x14ac:dyDescent="0.25">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ht="15.75" customHeight="1" x14ac:dyDescent="0.25">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ht="15.75" customHeight="1" x14ac:dyDescent="0.25">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ht="15.75" customHeight="1" x14ac:dyDescent="0.2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ht="15.75" customHeight="1" x14ac:dyDescent="0.25">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ht="15.75" customHeight="1" x14ac:dyDescent="0.25">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ht="15.75" customHeight="1" x14ac:dyDescent="0.25">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ht="15.75" customHeight="1" x14ac:dyDescent="0.25">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ht="15.75" customHeight="1" x14ac:dyDescent="0.25">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ht="15.75" customHeight="1" x14ac:dyDescent="0.25">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ht="15.75" customHeight="1" x14ac:dyDescent="0.25">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ht="15.75" customHeight="1" x14ac:dyDescent="0.25">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ht="15.75" customHeight="1" x14ac:dyDescent="0.25">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ht="15.75" customHeight="1" x14ac:dyDescent="0.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ht="15.75" customHeight="1" x14ac:dyDescent="0.25">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ht="15.75" customHeight="1" x14ac:dyDescent="0.25">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ht="15.75" customHeight="1" x14ac:dyDescent="0.25">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ht="15.75" customHeight="1" x14ac:dyDescent="0.25">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ht="15.75" customHeight="1" x14ac:dyDescent="0.25">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ht="15.75" customHeight="1" x14ac:dyDescent="0.25">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ht="15.75" customHeight="1" x14ac:dyDescent="0.25">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ht="15.75" customHeight="1" x14ac:dyDescent="0.25">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ht="15.75" customHeight="1" x14ac:dyDescent="0.25">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ht="15.75" customHeight="1" x14ac:dyDescent="0.2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ht="15.75" customHeight="1" x14ac:dyDescent="0.25">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ht="15.75" customHeight="1" x14ac:dyDescent="0.25">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ht="15.75" customHeight="1" x14ac:dyDescent="0.25">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ht="15.75" customHeight="1" x14ac:dyDescent="0.25">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ht="15.75" customHeight="1" x14ac:dyDescent="0.25">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ht="15.75" customHeight="1" x14ac:dyDescent="0.25">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ht="15.75" customHeight="1" x14ac:dyDescent="0.25">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ht="15.75" customHeight="1" x14ac:dyDescent="0.25">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ht="15.75" customHeight="1" x14ac:dyDescent="0.25">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ht="15.75" customHeight="1" x14ac:dyDescent="0.2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ht="15.75" customHeight="1" x14ac:dyDescent="0.25">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ht="15.75" customHeight="1" x14ac:dyDescent="0.25">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ht="15.75" customHeight="1" x14ac:dyDescent="0.25">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ht="15.75" customHeight="1" x14ac:dyDescent="0.25">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ht="15.75" customHeight="1" x14ac:dyDescent="0.25">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ht="15.75" customHeight="1" x14ac:dyDescent="0.25">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ht="15.75" customHeight="1" x14ac:dyDescent="0.25">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ht="15.75" customHeight="1" x14ac:dyDescent="0.25">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ht="15.75" customHeight="1" x14ac:dyDescent="0.25">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ht="15.75" customHeight="1" x14ac:dyDescent="0.2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ht="15.75" customHeight="1" x14ac:dyDescent="0.25">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ht="15.75" customHeight="1" x14ac:dyDescent="0.25">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ht="15.75" customHeight="1" x14ac:dyDescent="0.25">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ht="15.75" customHeight="1" x14ac:dyDescent="0.25">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ht="15.75" customHeight="1" x14ac:dyDescent="0.25">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ht="15.75" customHeight="1" x14ac:dyDescent="0.25">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ht="15.75" customHeight="1" x14ac:dyDescent="0.25">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ht="15.75" customHeight="1" x14ac:dyDescent="0.25">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ht="15.75" customHeight="1" x14ac:dyDescent="0.25">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ht="15.75" customHeight="1" x14ac:dyDescent="0.2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ht="15.75" customHeight="1" x14ac:dyDescent="0.25">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ht="15.75" customHeight="1" x14ac:dyDescent="0.25">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ht="15.75" customHeight="1" x14ac:dyDescent="0.25">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ht="15.75" customHeight="1" x14ac:dyDescent="0.25">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ht="15.75" customHeight="1" x14ac:dyDescent="0.25">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ht="15.75" customHeight="1" x14ac:dyDescent="0.25">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ht="15.75" customHeight="1" x14ac:dyDescent="0.25">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ht="15.75" customHeight="1" x14ac:dyDescent="0.25">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ht="15.75" customHeight="1" x14ac:dyDescent="0.25">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ht="15.75" customHeight="1" x14ac:dyDescent="0.2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ht="15.75" customHeight="1" x14ac:dyDescent="0.25">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ht="15.75" customHeight="1" x14ac:dyDescent="0.25">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ht="15.75" customHeight="1" x14ac:dyDescent="0.25">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ht="15.75" customHeight="1" x14ac:dyDescent="0.25">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ht="15.75" customHeight="1" x14ac:dyDescent="0.25">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ht="15.75" customHeight="1" x14ac:dyDescent="0.25">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ht="15.75" customHeight="1" x14ac:dyDescent="0.25">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ht="15.75" customHeight="1" x14ac:dyDescent="0.25">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ht="15.75" customHeight="1" x14ac:dyDescent="0.25">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ht="15.75" customHeight="1" x14ac:dyDescent="0.2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ht="15.75" customHeight="1" x14ac:dyDescent="0.25">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ht="15.75" customHeight="1" x14ac:dyDescent="0.25">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ht="15.75" customHeight="1" x14ac:dyDescent="0.25">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ht="15.75" customHeight="1" x14ac:dyDescent="0.25">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ht="15.75" customHeight="1" x14ac:dyDescent="0.25">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ht="15.75" customHeight="1" x14ac:dyDescent="0.25">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ht="15.75" customHeight="1" x14ac:dyDescent="0.25">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ht="15.75" customHeight="1" x14ac:dyDescent="0.25">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ht="15.75" customHeight="1" x14ac:dyDescent="0.25">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ht="15.75" customHeight="1" x14ac:dyDescent="0.2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ht="15.75" customHeight="1" x14ac:dyDescent="0.25">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ht="15.75" customHeight="1" x14ac:dyDescent="0.25">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ht="15.75" customHeight="1" x14ac:dyDescent="0.25">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ht="15.75" customHeight="1" x14ac:dyDescent="0.25">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ht="15.75" customHeight="1" x14ac:dyDescent="0.25">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ht="15.75" customHeight="1" x14ac:dyDescent="0.25">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ht="15.75" customHeight="1" x14ac:dyDescent="0.25">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ht="15.75" customHeight="1" x14ac:dyDescent="0.25">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ht="15.75" customHeight="1" x14ac:dyDescent="0.25">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ht="15.75" customHeight="1" x14ac:dyDescent="0.2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ht="15.75" customHeight="1" x14ac:dyDescent="0.25">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ht="15.75" customHeight="1" x14ac:dyDescent="0.25">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ht="15.75" customHeight="1" x14ac:dyDescent="0.25">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ht="15.75" customHeight="1" x14ac:dyDescent="0.25">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ht="15.75" customHeight="1" x14ac:dyDescent="0.25">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ht="15.75" customHeight="1" x14ac:dyDescent="0.25">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ht="15.75" customHeight="1" x14ac:dyDescent="0.25">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ht="15.75" customHeight="1" x14ac:dyDescent="0.25">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ht="15.75" customHeight="1" x14ac:dyDescent="0.25">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ht="15.75" customHeight="1" x14ac:dyDescent="0.2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ht="15.75" customHeight="1" x14ac:dyDescent="0.25">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ht="15.75" customHeight="1" x14ac:dyDescent="0.25">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ht="15.75" customHeight="1" x14ac:dyDescent="0.25">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ht="15.75" customHeight="1" x14ac:dyDescent="0.25">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ht="15.75" customHeight="1" x14ac:dyDescent="0.25">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ht="15.75" customHeight="1" x14ac:dyDescent="0.25">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ht="15.75" customHeight="1" x14ac:dyDescent="0.25">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ht="15.75" customHeight="1" x14ac:dyDescent="0.25">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ht="15.75" customHeight="1" x14ac:dyDescent="0.25">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ht="15.75" customHeight="1" x14ac:dyDescent="0.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ht="15.75" customHeight="1" x14ac:dyDescent="0.25">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ht="15.75" customHeight="1" x14ac:dyDescent="0.25">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ht="15.75" customHeight="1" x14ac:dyDescent="0.25">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ht="15.75" customHeight="1" x14ac:dyDescent="0.25">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ht="15.75" customHeight="1" x14ac:dyDescent="0.25">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ht="15.75" customHeight="1" x14ac:dyDescent="0.25">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ht="15.75" customHeight="1" x14ac:dyDescent="0.25">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ht="15.75" customHeight="1" x14ac:dyDescent="0.25">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ht="15.75" customHeight="1" x14ac:dyDescent="0.25">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ht="15.75" customHeight="1" x14ac:dyDescent="0.2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ht="15.75" customHeight="1" x14ac:dyDescent="0.25">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ht="15.75" customHeight="1" x14ac:dyDescent="0.25">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ht="15.75" customHeight="1" x14ac:dyDescent="0.25">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ht="15.75" customHeight="1" x14ac:dyDescent="0.25">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ht="15.75" customHeight="1" x14ac:dyDescent="0.25">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ht="15.75" customHeight="1" x14ac:dyDescent="0.25">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ht="15.75" customHeight="1" x14ac:dyDescent="0.25">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ht="15.75" customHeight="1" x14ac:dyDescent="0.25">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ht="15.75" customHeight="1" x14ac:dyDescent="0.25">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ht="15.75" customHeight="1" x14ac:dyDescent="0.2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ht="15.75" customHeight="1" x14ac:dyDescent="0.25">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ht="15.75" customHeight="1" x14ac:dyDescent="0.25">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ht="15.75" customHeight="1" x14ac:dyDescent="0.25">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ht="15.75" customHeight="1" x14ac:dyDescent="0.25">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ht="15.75" customHeight="1" x14ac:dyDescent="0.25">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ht="15.75" customHeight="1" x14ac:dyDescent="0.25">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ht="15.75" customHeight="1" x14ac:dyDescent="0.25">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ht="15.75" customHeight="1" x14ac:dyDescent="0.25">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ht="15.75" customHeight="1" x14ac:dyDescent="0.25">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ht="15.75" customHeight="1" x14ac:dyDescent="0.2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ht="15.75" customHeight="1" x14ac:dyDescent="0.25">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ht="15.75" customHeight="1" x14ac:dyDescent="0.25">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ht="15.75" customHeight="1" x14ac:dyDescent="0.25">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ht="15.75" customHeight="1" x14ac:dyDescent="0.25">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ht="15.75" customHeight="1" x14ac:dyDescent="0.25">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ht="15.75" customHeight="1" x14ac:dyDescent="0.25">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ht="15.75" customHeight="1" x14ac:dyDescent="0.25">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ht="15.75" customHeight="1" x14ac:dyDescent="0.25">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ht="15.75" customHeight="1" x14ac:dyDescent="0.25">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ht="15.75" customHeight="1" x14ac:dyDescent="0.2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ht="15.75" customHeight="1" x14ac:dyDescent="0.25">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ht="15.75" customHeight="1" x14ac:dyDescent="0.25">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ht="15.75" customHeight="1" x14ac:dyDescent="0.25">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ht="15.75" customHeight="1" x14ac:dyDescent="0.25">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ht="15.75" customHeight="1" x14ac:dyDescent="0.25">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ht="15.75" customHeight="1" x14ac:dyDescent="0.25">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ht="15.75" customHeight="1" x14ac:dyDescent="0.25">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ht="15.75" customHeight="1" x14ac:dyDescent="0.25">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ht="15.75" customHeight="1" x14ac:dyDescent="0.25">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ht="15.75" customHeight="1" x14ac:dyDescent="0.2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ht="15.75" customHeight="1" x14ac:dyDescent="0.25">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ht="15.75" customHeight="1" x14ac:dyDescent="0.25">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ht="15.75" customHeight="1" x14ac:dyDescent="0.25">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ht="15.75" customHeight="1" x14ac:dyDescent="0.25">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ht="15.75" customHeight="1" x14ac:dyDescent="0.25">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ht="15.75" customHeight="1" x14ac:dyDescent="0.25">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ht="15.75" customHeight="1" x14ac:dyDescent="0.25">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ht="15.75" customHeight="1" x14ac:dyDescent="0.25">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ht="15.75" customHeight="1" x14ac:dyDescent="0.25">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ht="15.75" customHeight="1" x14ac:dyDescent="0.2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ht="15.75" customHeight="1" x14ac:dyDescent="0.25">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ht="15.75" customHeight="1" x14ac:dyDescent="0.25">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ht="15.75" customHeight="1" x14ac:dyDescent="0.25">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ht="15.75" customHeight="1" x14ac:dyDescent="0.25">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ht="15.75" customHeight="1" x14ac:dyDescent="0.25">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ht="15.75" customHeight="1" x14ac:dyDescent="0.25">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ht="15.75" customHeight="1" x14ac:dyDescent="0.25">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ht="15.75" customHeight="1" x14ac:dyDescent="0.25">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ht="15.75" customHeight="1" x14ac:dyDescent="0.25">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ht="15.75" customHeight="1" x14ac:dyDescent="0.2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ht="15.75" customHeight="1" x14ac:dyDescent="0.25">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ht="15.75" customHeight="1" x14ac:dyDescent="0.25">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ht="15.75" customHeight="1" x14ac:dyDescent="0.25">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ht="15.75" customHeight="1" x14ac:dyDescent="0.25">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ht="15.75" customHeight="1" x14ac:dyDescent="0.25">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ht="15.75" customHeight="1" x14ac:dyDescent="0.25">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ht="15.75" customHeight="1" x14ac:dyDescent="0.25">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ht="15.75" customHeight="1" x14ac:dyDescent="0.25">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ht="15.75" customHeight="1" x14ac:dyDescent="0.25">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ht="15.75" customHeight="1" x14ac:dyDescent="0.2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ht="15.75" customHeight="1" x14ac:dyDescent="0.25">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ht="15.75" customHeight="1" x14ac:dyDescent="0.25">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ht="15.75" customHeight="1" x14ac:dyDescent="0.25">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ht="15.75" customHeight="1" x14ac:dyDescent="0.25">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ht="15.75" customHeight="1" x14ac:dyDescent="0.25">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ht="15.75" customHeight="1" x14ac:dyDescent="0.25">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ht="15.75" customHeight="1" x14ac:dyDescent="0.25">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ht="15.75" customHeight="1" x14ac:dyDescent="0.25">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ht="15.75" customHeight="1" x14ac:dyDescent="0.25">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ht="15.75" customHeight="1" x14ac:dyDescent="0.2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ht="15.75" customHeight="1" x14ac:dyDescent="0.25">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ht="15.75" customHeight="1" x14ac:dyDescent="0.25">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ht="15.75" customHeight="1" x14ac:dyDescent="0.25">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ht="15.75" customHeight="1" x14ac:dyDescent="0.25">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ht="15.75" customHeight="1" x14ac:dyDescent="0.25">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ht="15.75" customHeight="1" x14ac:dyDescent="0.25">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ht="15.75" customHeight="1" x14ac:dyDescent="0.25">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ht="15.75" customHeight="1" x14ac:dyDescent="0.25">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ht="15.75" customHeight="1" x14ac:dyDescent="0.25">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ht="15.75" customHeight="1" x14ac:dyDescent="0.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ht="15.75" customHeight="1" x14ac:dyDescent="0.25">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ht="15.75" customHeight="1" x14ac:dyDescent="0.25">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ht="15.75" customHeight="1" x14ac:dyDescent="0.25">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ht="15.75" customHeight="1" x14ac:dyDescent="0.25">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ht="15.75" customHeight="1" x14ac:dyDescent="0.25">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ht="15.75" customHeight="1" x14ac:dyDescent="0.25">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ht="15.75" customHeight="1" x14ac:dyDescent="0.25">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ht="15.75" customHeight="1" x14ac:dyDescent="0.25">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ht="15.75" customHeight="1" x14ac:dyDescent="0.25">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ht="15.75" customHeight="1" x14ac:dyDescent="0.2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ht="15.75" customHeight="1" x14ac:dyDescent="0.25">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ht="15.75" customHeight="1" x14ac:dyDescent="0.25">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ht="15.75" customHeight="1" x14ac:dyDescent="0.25">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ht="15.75" customHeight="1" x14ac:dyDescent="0.25">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ht="15.75" customHeight="1" x14ac:dyDescent="0.25">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ht="15.75" customHeight="1" x14ac:dyDescent="0.25">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ht="15.75" customHeight="1" x14ac:dyDescent="0.25">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ht="15.75" customHeight="1" x14ac:dyDescent="0.25">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ht="15.75" customHeight="1" x14ac:dyDescent="0.25">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ht="15.75" customHeight="1" x14ac:dyDescent="0.2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ht="15.75" customHeight="1" x14ac:dyDescent="0.25">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ht="15.75" customHeight="1" x14ac:dyDescent="0.25">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ht="15.75" customHeight="1" x14ac:dyDescent="0.25">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ht="15.75" customHeight="1" x14ac:dyDescent="0.25">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ht="15.75" customHeight="1" x14ac:dyDescent="0.25">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ht="15.75" customHeight="1" x14ac:dyDescent="0.25">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ht="15.75" customHeight="1" x14ac:dyDescent="0.25">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ht="15.75" customHeight="1" x14ac:dyDescent="0.25">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ht="15.75" customHeight="1" x14ac:dyDescent="0.25">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ht="15.75" customHeight="1" x14ac:dyDescent="0.2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ht="15.75" customHeight="1" x14ac:dyDescent="0.25">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ht="15.75" customHeight="1" x14ac:dyDescent="0.25">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ht="15.75" customHeight="1" x14ac:dyDescent="0.25">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ht="15.75" customHeight="1" x14ac:dyDescent="0.25">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ht="15.75" customHeight="1" x14ac:dyDescent="0.25">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ht="15.75" customHeight="1" x14ac:dyDescent="0.25">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ht="15.75" customHeight="1" x14ac:dyDescent="0.25">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ht="15.75" customHeight="1" x14ac:dyDescent="0.25">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ht="15.75" customHeight="1" x14ac:dyDescent="0.25">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ht="15.75" customHeight="1" x14ac:dyDescent="0.2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ht="15.75" customHeight="1" x14ac:dyDescent="0.25">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ht="15.75" customHeight="1" x14ac:dyDescent="0.25">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ht="15.75" customHeight="1" x14ac:dyDescent="0.25">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ht="15.75" customHeight="1" x14ac:dyDescent="0.25">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ht="15.75" customHeight="1" x14ac:dyDescent="0.25">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ht="15.75" customHeight="1" x14ac:dyDescent="0.25">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ht="15.75" customHeight="1" x14ac:dyDescent="0.25">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ht="15.75" customHeight="1" x14ac:dyDescent="0.25">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ht="15.75" customHeight="1" x14ac:dyDescent="0.25">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ht="15.75" customHeight="1" x14ac:dyDescent="0.2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ht="15.75" customHeight="1" x14ac:dyDescent="0.25">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ht="15.75" customHeight="1" x14ac:dyDescent="0.25">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ht="15.75" customHeight="1" x14ac:dyDescent="0.25">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ht="15.75" customHeight="1" x14ac:dyDescent="0.25">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ht="15.75" customHeight="1" x14ac:dyDescent="0.25">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ht="15.75" customHeight="1" x14ac:dyDescent="0.25">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ht="15.75" customHeight="1" x14ac:dyDescent="0.25">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ht="15.75" customHeight="1" x14ac:dyDescent="0.25">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ht="15.75" customHeight="1" x14ac:dyDescent="0.25">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ht="15.75" customHeight="1" x14ac:dyDescent="0.2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ht="15.75" customHeight="1" x14ac:dyDescent="0.25">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ht="15.75" customHeight="1" x14ac:dyDescent="0.25">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ht="15.75" customHeight="1" x14ac:dyDescent="0.25">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ht="15.75" customHeight="1" x14ac:dyDescent="0.25">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ht="15.75" customHeight="1" x14ac:dyDescent="0.25">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ht="15.75" customHeight="1" x14ac:dyDescent="0.25">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ht="15.75" customHeight="1" x14ac:dyDescent="0.25">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ht="15.75" customHeight="1" x14ac:dyDescent="0.25">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ht="15.75" customHeight="1" x14ac:dyDescent="0.25">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ht="15.75" customHeight="1" x14ac:dyDescent="0.2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ht="15.75" customHeight="1" x14ac:dyDescent="0.25">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ht="15.75" customHeight="1" x14ac:dyDescent="0.25">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ht="15.75" customHeight="1" x14ac:dyDescent="0.25">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ht="15.75" customHeight="1" x14ac:dyDescent="0.25">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ht="15.75" customHeight="1" x14ac:dyDescent="0.25">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ht="15.75" customHeight="1" x14ac:dyDescent="0.25">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ht="15.75" customHeight="1" x14ac:dyDescent="0.25">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ht="15.75" customHeight="1" x14ac:dyDescent="0.25">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ht="15.75" customHeight="1" x14ac:dyDescent="0.25">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ht="15.75" customHeight="1" x14ac:dyDescent="0.2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ht="15.75" customHeight="1" x14ac:dyDescent="0.25">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ht="15.75" customHeight="1" x14ac:dyDescent="0.25">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ht="15.75" customHeight="1" x14ac:dyDescent="0.25">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ht="15.75" customHeight="1" x14ac:dyDescent="0.25">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ht="15.75" customHeight="1" x14ac:dyDescent="0.25">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ht="15.75" customHeight="1" x14ac:dyDescent="0.25">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ht="15.75" customHeight="1" x14ac:dyDescent="0.25">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ht="15.75" customHeight="1" x14ac:dyDescent="0.25">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ht="15.75" customHeight="1" x14ac:dyDescent="0.25">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ht="15.75" customHeight="1" x14ac:dyDescent="0.2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ht="15.75" customHeight="1" x14ac:dyDescent="0.25">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ht="15.75" customHeight="1" x14ac:dyDescent="0.25">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ht="15.75" customHeight="1" x14ac:dyDescent="0.25">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ht="15.75" customHeight="1" x14ac:dyDescent="0.25">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ht="15.75" customHeight="1" x14ac:dyDescent="0.25">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ht="15.75" customHeight="1" x14ac:dyDescent="0.25">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ht="15.75" customHeight="1" x14ac:dyDescent="0.25">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ht="15.75" customHeight="1" x14ac:dyDescent="0.25">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ht="15.75" customHeight="1" x14ac:dyDescent="0.25">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ht="15.75" customHeight="1" x14ac:dyDescent="0.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ht="15.75" customHeight="1" x14ac:dyDescent="0.25">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ht="15.75" customHeight="1" x14ac:dyDescent="0.25">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ht="15.75" customHeight="1" x14ac:dyDescent="0.25">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ht="15.75" customHeight="1" x14ac:dyDescent="0.25">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ht="15.75" customHeight="1" x14ac:dyDescent="0.25">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ht="15.75" customHeight="1" x14ac:dyDescent="0.25">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ht="15.75" customHeight="1" x14ac:dyDescent="0.25">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ht="15.75" customHeight="1" x14ac:dyDescent="0.25">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ht="15.75" customHeight="1" x14ac:dyDescent="0.25">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ht="15.75" customHeight="1" x14ac:dyDescent="0.2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ht="15.75" customHeight="1" x14ac:dyDescent="0.25">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ht="15.75" customHeight="1" x14ac:dyDescent="0.25">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ht="15.75" customHeight="1" x14ac:dyDescent="0.25">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ht="15.75" customHeight="1" x14ac:dyDescent="0.25">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ht="15.75" customHeight="1" x14ac:dyDescent="0.25">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ht="15.75" customHeight="1" x14ac:dyDescent="0.25">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ht="15.75" customHeight="1" x14ac:dyDescent="0.25">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ht="15.75" customHeight="1" x14ac:dyDescent="0.25">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ht="15.75" customHeight="1" x14ac:dyDescent="0.25">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ht="15.75" customHeight="1" x14ac:dyDescent="0.2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ht="15.75" customHeight="1" x14ac:dyDescent="0.25">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ht="15.75" customHeight="1" x14ac:dyDescent="0.25">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ht="15.75" customHeight="1" x14ac:dyDescent="0.25">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ht="15.75" customHeight="1" x14ac:dyDescent="0.25">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ht="15.75" customHeight="1" x14ac:dyDescent="0.25">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ht="15.75" customHeight="1" x14ac:dyDescent="0.25">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ht="15.75" customHeight="1" x14ac:dyDescent="0.25">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ht="15.75" customHeight="1" x14ac:dyDescent="0.25">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ht="15.75" customHeight="1" x14ac:dyDescent="0.25">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ht="15.75" customHeight="1" x14ac:dyDescent="0.2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ht="15.75" customHeight="1" x14ac:dyDescent="0.25">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ht="15.75" customHeight="1" x14ac:dyDescent="0.25">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ht="15.75" customHeight="1" x14ac:dyDescent="0.25">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ht="15.75" customHeight="1" x14ac:dyDescent="0.25">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ht="15.75" customHeight="1" x14ac:dyDescent="0.25">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ht="15.75" customHeight="1" x14ac:dyDescent="0.25">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ht="15.75" customHeight="1" x14ac:dyDescent="0.25">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ht="15.75" customHeight="1" x14ac:dyDescent="0.25">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ht="15.75" customHeight="1" x14ac:dyDescent="0.25">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ht="15.75" customHeight="1" x14ac:dyDescent="0.2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ht="15.75" customHeight="1" x14ac:dyDescent="0.25">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ht="15.75" customHeight="1" x14ac:dyDescent="0.25">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ht="15.75" customHeight="1" x14ac:dyDescent="0.25">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ht="15.75" customHeight="1" x14ac:dyDescent="0.25">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ht="15.75" customHeight="1" x14ac:dyDescent="0.25">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ht="15.75" customHeight="1" x14ac:dyDescent="0.25">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ht="15.75" customHeight="1" x14ac:dyDescent="0.25">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ht="15.75" customHeight="1" x14ac:dyDescent="0.25">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ht="15.75" customHeight="1" x14ac:dyDescent="0.25">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ht="15.75" customHeight="1" x14ac:dyDescent="0.2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ht="15.75" customHeight="1" x14ac:dyDescent="0.25">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ht="15.75" customHeight="1" x14ac:dyDescent="0.25">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ht="15.75" customHeight="1" x14ac:dyDescent="0.25">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ht="15.75" customHeight="1" x14ac:dyDescent="0.25">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ht="15.75" customHeight="1" x14ac:dyDescent="0.25">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ht="15.75" customHeight="1" x14ac:dyDescent="0.25">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ht="15.75" customHeight="1" x14ac:dyDescent="0.25">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ht="15.75" customHeight="1" x14ac:dyDescent="0.25">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ht="15.75" customHeight="1" x14ac:dyDescent="0.25">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ht="15.75" customHeight="1" x14ac:dyDescent="0.2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ht="15.75" customHeight="1" x14ac:dyDescent="0.25">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ht="15.75" customHeight="1" x14ac:dyDescent="0.25">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ht="15.75" customHeight="1" x14ac:dyDescent="0.25">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ht="15.75" customHeight="1" x14ac:dyDescent="0.25">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ht="15.75" customHeight="1" x14ac:dyDescent="0.25">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ht="15.75" customHeight="1" x14ac:dyDescent="0.25">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ht="15.75" customHeight="1" x14ac:dyDescent="0.25">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ht="15.75" customHeight="1" x14ac:dyDescent="0.25">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ht="15.75" customHeight="1" x14ac:dyDescent="0.25">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ht="15.75" customHeight="1" x14ac:dyDescent="0.2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ht="15.75" customHeight="1" x14ac:dyDescent="0.25">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ht="15.75" customHeight="1" x14ac:dyDescent="0.25">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ht="15.75" customHeight="1" x14ac:dyDescent="0.25">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ht="15.75" customHeight="1" x14ac:dyDescent="0.25">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ht="15.75" customHeight="1" x14ac:dyDescent="0.25">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ht="15.75" customHeight="1" x14ac:dyDescent="0.25">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ht="15.75" customHeight="1" x14ac:dyDescent="0.25">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ht="15.75" customHeight="1" x14ac:dyDescent="0.25">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ht="15.75" customHeight="1" x14ac:dyDescent="0.25">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ht="15.75" customHeight="1" x14ac:dyDescent="0.2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ht="15.75" customHeight="1" x14ac:dyDescent="0.25">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ht="15.75" customHeight="1" x14ac:dyDescent="0.25">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ht="15.75" customHeight="1" x14ac:dyDescent="0.25">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ht="15.75" customHeight="1" x14ac:dyDescent="0.25">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ht="15.75" customHeight="1" x14ac:dyDescent="0.25">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ht="15.75" customHeight="1" x14ac:dyDescent="0.25">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ht="15.75" customHeight="1" x14ac:dyDescent="0.25">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ht="15.75" customHeight="1" x14ac:dyDescent="0.25">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ht="15.75" customHeight="1" x14ac:dyDescent="0.25">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ht="15.75" customHeight="1" x14ac:dyDescent="0.2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ht="15.75" customHeight="1" x14ac:dyDescent="0.25">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ht="15.75" customHeight="1" x14ac:dyDescent="0.25">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ht="15.75" customHeight="1" x14ac:dyDescent="0.25">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ht="15.75" customHeight="1" x14ac:dyDescent="0.25">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ht="15.75" customHeight="1" x14ac:dyDescent="0.25">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ht="15.75" customHeight="1" x14ac:dyDescent="0.25">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ht="15.75" customHeight="1" x14ac:dyDescent="0.25">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ht="15.75" customHeight="1" x14ac:dyDescent="0.25">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ht="15.75" customHeight="1" x14ac:dyDescent="0.25">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ht="15.75" customHeight="1" x14ac:dyDescent="0.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ht="15.75" customHeight="1" x14ac:dyDescent="0.25">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ht="15.75" customHeight="1" x14ac:dyDescent="0.25">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ht="15.75" customHeight="1" x14ac:dyDescent="0.25">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ht="15.75" customHeight="1" x14ac:dyDescent="0.25">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ht="15.75" customHeight="1" x14ac:dyDescent="0.25">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ht="15.75" customHeight="1" x14ac:dyDescent="0.25">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ht="15.75" customHeight="1" x14ac:dyDescent="0.25">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ht="15.75" customHeight="1" x14ac:dyDescent="0.25">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ht="15.75" customHeight="1" x14ac:dyDescent="0.25">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ht="15.75" customHeight="1" x14ac:dyDescent="0.2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ht="15.75" customHeight="1" x14ac:dyDescent="0.25">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ht="15.75" customHeight="1" x14ac:dyDescent="0.25">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ht="15.75" customHeight="1" x14ac:dyDescent="0.25">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ht="15.75" customHeight="1" x14ac:dyDescent="0.25">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ht="15.75" customHeight="1" x14ac:dyDescent="0.25">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ht="15.75" customHeight="1" x14ac:dyDescent="0.25">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ht="15.75" customHeight="1" x14ac:dyDescent="0.25">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ht="15.75" customHeight="1" x14ac:dyDescent="0.25">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ht="15.75" customHeight="1" x14ac:dyDescent="0.25">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ht="15.75" customHeight="1" x14ac:dyDescent="0.2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ht="15.75" customHeight="1" x14ac:dyDescent="0.25">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ht="15.75" customHeight="1" x14ac:dyDescent="0.25">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ht="15.75" customHeight="1" x14ac:dyDescent="0.25">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ht="15.75" customHeight="1" x14ac:dyDescent="0.25">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ht="15.75" customHeight="1" x14ac:dyDescent="0.25">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ht="15.75" customHeight="1" x14ac:dyDescent="0.25">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ht="15.75" customHeight="1" x14ac:dyDescent="0.25">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ht="15.75" customHeight="1" x14ac:dyDescent="0.25">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ht="15.75" customHeight="1" x14ac:dyDescent="0.25">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ht="15.75" customHeight="1" x14ac:dyDescent="0.2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ht="15.75" customHeight="1" x14ac:dyDescent="0.25">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ht="15.75" customHeight="1" x14ac:dyDescent="0.25">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ht="15.75" customHeight="1" x14ac:dyDescent="0.25">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ht="15.75" customHeight="1" x14ac:dyDescent="0.25">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ht="15.75" customHeight="1" x14ac:dyDescent="0.25">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ht="15.75" customHeight="1" x14ac:dyDescent="0.25">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ht="15.75" customHeight="1" x14ac:dyDescent="0.25">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ht="15.75" customHeight="1" x14ac:dyDescent="0.25">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ht="15.75" customHeight="1" x14ac:dyDescent="0.25">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ht="15.75" customHeight="1" x14ac:dyDescent="0.2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ht="15.75" customHeight="1" x14ac:dyDescent="0.25">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ht="15.75" customHeight="1" x14ac:dyDescent="0.25">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ht="15.75" customHeight="1" x14ac:dyDescent="0.25">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ht="15.75" customHeight="1" x14ac:dyDescent="0.25">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ht="15.75" customHeight="1" x14ac:dyDescent="0.25">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ht="15.75" customHeight="1" x14ac:dyDescent="0.25">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ht="15.75" customHeight="1" x14ac:dyDescent="0.25">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ht="15.75" customHeight="1" x14ac:dyDescent="0.25">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ht="15.75" customHeight="1" x14ac:dyDescent="0.25">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ht="15.75" customHeight="1" x14ac:dyDescent="0.2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ht="15.75" customHeight="1" x14ac:dyDescent="0.25">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ht="15.75" customHeight="1" x14ac:dyDescent="0.25">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ht="15.75" customHeight="1" x14ac:dyDescent="0.25">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ht="15.75" customHeight="1" x14ac:dyDescent="0.25">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ht="15.75" customHeight="1" x14ac:dyDescent="0.25">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ht="15.75" customHeight="1" x14ac:dyDescent="0.25">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ht="15.75" customHeight="1" x14ac:dyDescent="0.25">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ht="15.75" customHeight="1" x14ac:dyDescent="0.25">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ht="15.75" customHeight="1" x14ac:dyDescent="0.25">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ht="15.75" customHeight="1" x14ac:dyDescent="0.2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ht="15.75" customHeight="1" x14ac:dyDescent="0.25">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ht="15.75" customHeight="1" x14ac:dyDescent="0.25">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ht="15.75" customHeight="1" x14ac:dyDescent="0.25">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ht="15.75" customHeight="1" x14ac:dyDescent="0.25">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ht="15.75" customHeight="1" x14ac:dyDescent="0.25">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ht="15.75" customHeight="1" x14ac:dyDescent="0.25">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ht="15.75" customHeight="1" x14ac:dyDescent="0.25">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ht="15.75" customHeight="1" x14ac:dyDescent="0.25">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ht="15.75" customHeight="1" x14ac:dyDescent="0.25">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ht="15.75" customHeight="1" x14ac:dyDescent="0.2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ht="15.75" customHeight="1" x14ac:dyDescent="0.25">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ht="15.75" customHeight="1" x14ac:dyDescent="0.25">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ht="15.75" customHeight="1" x14ac:dyDescent="0.25">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ht="15.75" customHeight="1" x14ac:dyDescent="0.25">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ht="15.75" customHeight="1" x14ac:dyDescent="0.25">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ht="15.75" customHeight="1" x14ac:dyDescent="0.25">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ht="15.75" customHeight="1" x14ac:dyDescent="0.25">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ht="15.75" customHeight="1" x14ac:dyDescent="0.25">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ht="15.75" customHeight="1" x14ac:dyDescent="0.25">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ht="15.75" customHeight="1" x14ac:dyDescent="0.2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ht="15.75" customHeight="1" x14ac:dyDescent="0.25">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ht="15.75" customHeight="1" x14ac:dyDescent="0.25">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ht="15.75" customHeight="1" x14ac:dyDescent="0.25">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ht="15.75" customHeight="1" x14ac:dyDescent="0.25">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ht="15.75" customHeight="1" x14ac:dyDescent="0.25">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ht="15.75" customHeight="1" x14ac:dyDescent="0.25">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ht="15.75" customHeight="1" x14ac:dyDescent="0.25">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ht="15.75" customHeight="1" x14ac:dyDescent="0.25">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ht="15.75" customHeight="1" x14ac:dyDescent="0.25">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ht="15.75" customHeight="1" x14ac:dyDescent="0.2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ht="15.75" customHeight="1" x14ac:dyDescent="0.25">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ht="15.75" customHeight="1" x14ac:dyDescent="0.25">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ht="15.75" customHeight="1" x14ac:dyDescent="0.25">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ht="15.75" customHeight="1" x14ac:dyDescent="0.25">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ht="15.75" customHeight="1" x14ac:dyDescent="0.25">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ht="15.75" customHeight="1" x14ac:dyDescent="0.25">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ht="15.75" customHeight="1" x14ac:dyDescent="0.25">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ht="15.75" customHeight="1" x14ac:dyDescent="0.25">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ht="15.75" customHeight="1" x14ac:dyDescent="0.25">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ht="15.75" customHeight="1" x14ac:dyDescent="0.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ht="15.75" customHeight="1" x14ac:dyDescent="0.25">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ht="15.75" customHeight="1" x14ac:dyDescent="0.25">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ht="15.75" customHeight="1" x14ac:dyDescent="0.25">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ht="15.75" customHeight="1" x14ac:dyDescent="0.25">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ht="15.75" customHeight="1" x14ac:dyDescent="0.25">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ht="15.75" customHeight="1" x14ac:dyDescent="0.25">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ht="15.75" customHeight="1" x14ac:dyDescent="0.25">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ht="15.75" customHeight="1" x14ac:dyDescent="0.25">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ht="15.75" customHeight="1" x14ac:dyDescent="0.25">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ht="15.75" customHeight="1" x14ac:dyDescent="0.2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ht="15.75" customHeight="1" x14ac:dyDescent="0.25">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ht="15.75" customHeight="1" x14ac:dyDescent="0.25">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ht="15.75" customHeight="1" x14ac:dyDescent="0.25">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ht="15.75" customHeight="1" x14ac:dyDescent="0.25">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ht="15.75" customHeight="1" x14ac:dyDescent="0.25">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ht="15.75" customHeight="1" x14ac:dyDescent="0.25">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ht="15.75" customHeight="1" x14ac:dyDescent="0.25">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ht="15.75" customHeight="1" x14ac:dyDescent="0.25">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ht="15.75" customHeight="1" x14ac:dyDescent="0.25">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ht="15.75" customHeight="1" x14ac:dyDescent="0.2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ht="15.75" customHeight="1" x14ac:dyDescent="0.25">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ht="15.75" customHeight="1" x14ac:dyDescent="0.25">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ht="15.75" customHeight="1" x14ac:dyDescent="0.25">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ht="15.75" customHeight="1" x14ac:dyDescent="0.25">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ht="15.75" customHeight="1" x14ac:dyDescent="0.25">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ht="15.75" customHeight="1" x14ac:dyDescent="0.25">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ht="15.75" customHeight="1" x14ac:dyDescent="0.25">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ht="15.75" customHeight="1" x14ac:dyDescent="0.25">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ht="15.75" customHeight="1" x14ac:dyDescent="0.25">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ht="15.75" customHeight="1" x14ac:dyDescent="0.2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ht="15.75" customHeight="1" x14ac:dyDescent="0.25">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ht="15.75" customHeight="1" x14ac:dyDescent="0.25">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ht="15.75" customHeight="1" x14ac:dyDescent="0.25">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ht="15.75" customHeight="1" x14ac:dyDescent="0.25">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ht="15.75" customHeight="1" x14ac:dyDescent="0.25">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ht="15.75" customHeight="1" x14ac:dyDescent="0.25">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ht="15.75" customHeight="1" x14ac:dyDescent="0.25">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ht="15.75" customHeight="1" x14ac:dyDescent="0.25">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ht="15.75" customHeight="1" x14ac:dyDescent="0.25">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ht="15.75" customHeight="1" x14ac:dyDescent="0.2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ht="15.75" customHeight="1" x14ac:dyDescent="0.25">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ht="15.75" customHeight="1" x14ac:dyDescent="0.25">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ht="15.75" customHeight="1" x14ac:dyDescent="0.25">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ht="15.75" customHeight="1" x14ac:dyDescent="0.25">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ht="15.75" customHeight="1" x14ac:dyDescent="0.25">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ht="15.75" customHeight="1" x14ac:dyDescent="0.25">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ht="15.75" customHeight="1" x14ac:dyDescent="0.25">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ht="15.75" customHeight="1" x14ac:dyDescent="0.25">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ht="15.75" customHeight="1" x14ac:dyDescent="0.25">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ht="15.75" customHeight="1" x14ac:dyDescent="0.2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ht="15.75" customHeight="1" x14ac:dyDescent="0.25">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ht="15.75" customHeight="1" x14ac:dyDescent="0.25">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ht="15.75" customHeight="1" x14ac:dyDescent="0.25">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ht="15.75" customHeight="1" x14ac:dyDescent="0.25">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ht="15.75" customHeight="1" x14ac:dyDescent="0.25">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ht="15.75" customHeight="1" x14ac:dyDescent="0.25">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ht="15.75" customHeight="1" x14ac:dyDescent="0.25">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ht="15.75" customHeight="1" x14ac:dyDescent="0.25">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ht="15.75" customHeight="1" x14ac:dyDescent="0.25">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ht="15.75" customHeight="1" x14ac:dyDescent="0.2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ht="15.75" customHeight="1" x14ac:dyDescent="0.25">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ht="15.75" customHeight="1" x14ac:dyDescent="0.25">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ht="15.75" customHeight="1" x14ac:dyDescent="0.25">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ht="15.75" customHeight="1" x14ac:dyDescent="0.25">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ht="15.75" customHeight="1" x14ac:dyDescent="0.25">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ht="15.75" customHeight="1" x14ac:dyDescent="0.25">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ht="15.75" customHeight="1" x14ac:dyDescent="0.25">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ht="15.75" customHeight="1" x14ac:dyDescent="0.25">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ht="15.75" customHeight="1" x14ac:dyDescent="0.25">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ht="15.75" customHeight="1" x14ac:dyDescent="0.2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ht="15.75" customHeight="1" x14ac:dyDescent="0.25">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ht="15.75" customHeight="1" x14ac:dyDescent="0.25">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ht="15.75" customHeight="1" x14ac:dyDescent="0.25">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ht="15.75" customHeight="1" x14ac:dyDescent="0.25">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ht="15.75" customHeight="1" x14ac:dyDescent="0.25">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ht="15.75" customHeight="1" x14ac:dyDescent="0.25">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ht="15.75" customHeight="1" x14ac:dyDescent="0.25">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ht="15.75" customHeight="1" x14ac:dyDescent="0.25">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ht="15.75" customHeight="1" x14ac:dyDescent="0.25">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ht="15.75" customHeight="1" x14ac:dyDescent="0.2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ht="15.75" customHeight="1" x14ac:dyDescent="0.25">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ht="15.75" customHeight="1" x14ac:dyDescent="0.25">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ht="15.75" customHeight="1" x14ac:dyDescent="0.25">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ht="15.75" customHeight="1" x14ac:dyDescent="0.25">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ht="15.75" customHeight="1" x14ac:dyDescent="0.25">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ht="15.75" customHeight="1" x14ac:dyDescent="0.25">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ht="15.75" customHeight="1" x14ac:dyDescent="0.25">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ht="15.75" customHeight="1" x14ac:dyDescent="0.25">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ht="15.75" customHeight="1" x14ac:dyDescent="0.25">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ht="15.75" customHeight="1" x14ac:dyDescent="0.2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ht="15.75" customHeight="1" x14ac:dyDescent="0.25">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ht="15.75" customHeight="1" x14ac:dyDescent="0.25">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ht="15.75" customHeight="1" x14ac:dyDescent="0.25">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ht="15.75" customHeight="1" x14ac:dyDescent="0.25">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ht="15.75" customHeight="1" x14ac:dyDescent="0.25">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ht="15.75" customHeight="1" x14ac:dyDescent="0.25">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ht="15.75" customHeight="1" x14ac:dyDescent="0.25">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ht="15.75" customHeight="1" x14ac:dyDescent="0.25">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ht="15.75" customHeight="1" x14ac:dyDescent="0.25">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ht="15.75" customHeight="1" x14ac:dyDescent="0.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ht="15.75" customHeight="1" x14ac:dyDescent="0.25">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ht="15.75" customHeight="1" x14ac:dyDescent="0.25">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ht="15.75" customHeight="1" x14ac:dyDescent="0.25">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ht="15.75" customHeight="1" x14ac:dyDescent="0.25">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ht="15.75" customHeight="1" x14ac:dyDescent="0.25">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ht="15.75" customHeight="1" x14ac:dyDescent="0.25">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ht="15.75" customHeight="1" x14ac:dyDescent="0.25">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ht="15.75" customHeight="1" x14ac:dyDescent="0.25">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ht="15.75" customHeight="1" x14ac:dyDescent="0.25">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ht="15.75" customHeight="1" x14ac:dyDescent="0.2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ht="15.75" customHeight="1" x14ac:dyDescent="0.25">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ht="15.75" customHeight="1" x14ac:dyDescent="0.25">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ht="15.75" customHeight="1" x14ac:dyDescent="0.25">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ht="15.75" customHeight="1" x14ac:dyDescent="0.25">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ht="15.75" customHeight="1" x14ac:dyDescent="0.25">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ht="15.75" customHeight="1" x14ac:dyDescent="0.25">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ht="15.75" customHeight="1" x14ac:dyDescent="0.25">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ht="15.75" customHeight="1" x14ac:dyDescent="0.25">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ht="15.75" customHeight="1" x14ac:dyDescent="0.25">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ht="15.75" customHeight="1" x14ac:dyDescent="0.2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ht="15.75" customHeight="1" x14ac:dyDescent="0.25">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ht="15.75" customHeight="1" x14ac:dyDescent="0.25">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ht="15.75" customHeight="1" x14ac:dyDescent="0.25">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ht="15.75" customHeight="1" x14ac:dyDescent="0.25">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ht="15.75" customHeight="1" x14ac:dyDescent="0.25">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ht="15.75" customHeight="1" x14ac:dyDescent="0.25">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ht="15.75" customHeight="1" x14ac:dyDescent="0.25">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ht="15.75" customHeight="1" x14ac:dyDescent="0.25">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ht="15.75" customHeight="1" x14ac:dyDescent="0.25">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ht="15.75" customHeight="1" x14ac:dyDescent="0.2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ht="15.75" customHeight="1" x14ac:dyDescent="0.25">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ht="15.75" customHeight="1" x14ac:dyDescent="0.25">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ht="15.75" customHeight="1" x14ac:dyDescent="0.25">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ht="15.75" customHeight="1" x14ac:dyDescent="0.25">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ht="15.75" customHeight="1" x14ac:dyDescent="0.25">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ht="15.75" customHeight="1" x14ac:dyDescent="0.25">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ht="15.75" customHeight="1" x14ac:dyDescent="0.25">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ht="15.75" customHeight="1" x14ac:dyDescent="0.25">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ht="15.75" customHeight="1" x14ac:dyDescent="0.25">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ht="15.75" customHeight="1" x14ac:dyDescent="0.2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ht="15.75" customHeight="1" x14ac:dyDescent="0.25">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ht="15.75" customHeight="1" x14ac:dyDescent="0.25">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ht="15.75" customHeight="1" x14ac:dyDescent="0.25">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ht="15.75" customHeight="1" x14ac:dyDescent="0.25">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ht="15.75" customHeight="1" x14ac:dyDescent="0.25">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ht="15.75" customHeight="1" x14ac:dyDescent="0.25">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ht="15.75" customHeight="1" x14ac:dyDescent="0.25">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ht="15.75" customHeight="1" x14ac:dyDescent="0.25">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ht="15.75" customHeight="1" x14ac:dyDescent="0.25">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ht="15.75" customHeight="1" x14ac:dyDescent="0.2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ht="15.75" customHeight="1" x14ac:dyDescent="0.25">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ht="15.75" customHeight="1" x14ac:dyDescent="0.25">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ht="15.75" customHeight="1" x14ac:dyDescent="0.25">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ht="15.75" customHeight="1" x14ac:dyDescent="0.25">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ht="15.75" customHeight="1" x14ac:dyDescent="0.25">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ht="15.75" customHeight="1" x14ac:dyDescent="0.25">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ht="15.75" customHeight="1" x14ac:dyDescent="0.25">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ht="15.75" customHeight="1" x14ac:dyDescent="0.25">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ht="15.75" customHeight="1" x14ac:dyDescent="0.25">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ht="15.75" customHeight="1" x14ac:dyDescent="0.2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ht="15.75" customHeight="1" x14ac:dyDescent="0.25">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ht="15.75" customHeight="1" x14ac:dyDescent="0.25">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ht="15.75" customHeight="1" x14ac:dyDescent="0.25">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ht="15.75" customHeight="1" x14ac:dyDescent="0.25">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ht="15.75" customHeight="1" x14ac:dyDescent="0.25">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ht="15.75" customHeight="1" x14ac:dyDescent="0.25">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ht="15.75" customHeight="1" x14ac:dyDescent="0.25">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ht="15.75" customHeight="1" x14ac:dyDescent="0.25">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ht="15.75" customHeight="1" x14ac:dyDescent="0.25">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ht="15.75" customHeight="1" x14ac:dyDescent="0.2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ht="15.75" customHeight="1" x14ac:dyDescent="0.25">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ht="15.75" customHeight="1" x14ac:dyDescent="0.25">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ht="15.75" customHeight="1" x14ac:dyDescent="0.25">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ht="15.75" customHeight="1" x14ac:dyDescent="0.25">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ht="15.75" customHeight="1" x14ac:dyDescent="0.25">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ht="15.75" customHeight="1" x14ac:dyDescent="0.25">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ht="15.75" customHeight="1" x14ac:dyDescent="0.25">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ht="15.75" customHeight="1" x14ac:dyDescent="0.25">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ht="15.75" customHeight="1" x14ac:dyDescent="0.25">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ht="15.75" customHeight="1" x14ac:dyDescent="0.2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ht="15.75" customHeight="1" x14ac:dyDescent="0.25">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ht="15.75" customHeight="1" x14ac:dyDescent="0.25">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ht="15.75" customHeight="1" x14ac:dyDescent="0.25">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ht="15.75" customHeight="1" x14ac:dyDescent="0.25">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ht="15.75" customHeight="1" x14ac:dyDescent="0.25">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ht="15.75" customHeight="1" x14ac:dyDescent="0.25">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ht="15.75" customHeight="1" x14ac:dyDescent="0.25">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ht="15.75" customHeight="1" x14ac:dyDescent="0.25">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ht="15.75" customHeight="1" x14ac:dyDescent="0.25">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ht="15.75" customHeight="1" x14ac:dyDescent="0.2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ht="15.75" customHeight="1" x14ac:dyDescent="0.25">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ht="15.75" customHeight="1" x14ac:dyDescent="0.25">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ht="15.75" customHeight="1" x14ac:dyDescent="0.25">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ht="15.75" customHeight="1" x14ac:dyDescent="0.25">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ht="15.75" customHeight="1" x14ac:dyDescent="0.25">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ht="15.75" customHeight="1" x14ac:dyDescent="0.25">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ht="15.75" customHeight="1" x14ac:dyDescent="0.25">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ht="15.75" customHeight="1" x14ac:dyDescent="0.25">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ht="15.75" customHeight="1" x14ac:dyDescent="0.25">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ht="15.75" customHeight="1" x14ac:dyDescent="0.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ht="15.75" customHeight="1" x14ac:dyDescent="0.25">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ht="15.75" customHeight="1" x14ac:dyDescent="0.25">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ht="15.75" customHeight="1" x14ac:dyDescent="0.25">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ht="15.75" customHeight="1" x14ac:dyDescent="0.25">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ht="15.75" customHeight="1" x14ac:dyDescent="0.25">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ht="15.75" customHeight="1" x14ac:dyDescent="0.25">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ht="15.75" customHeight="1" x14ac:dyDescent="0.25">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ht="15.75" customHeight="1" x14ac:dyDescent="0.25">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ht="15.75" customHeight="1" x14ac:dyDescent="0.25">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ht="15.75" customHeight="1" x14ac:dyDescent="0.2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ht="15.75" customHeight="1" x14ac:dyDescent="0.25">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ht="15.75" customHeight="1" x14ac:dyDescent="0.25">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ht="15.75" customHeight="1" x14ac:dyDescent="0.25">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ht="15.75" customHeight="1" x14ac:dyDescent="0.25">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ht="15.75" customHeight="1" x14ac:dyDescent="0.25">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ht="15.75" customHeight="1" x14ac:dyDescent="0.25">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ht="15.75" customHeight="1" x14ac:dyDescent="0.25">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ht="15.75" customHeight="1" x14ac:dyDescent="0.25">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ht="15.75" customHeight="1" x14ac:dyDescent="0.25">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ht="15.75" customHeight="1" x14ac:dyDescent="0.2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ht="15.75" customHeight="1" x14ac:dyDescent="0.25">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ht="15.75" customHeight="1" x14ac:dyDescent="0.25">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ht="15.75" customHeight="1" x14ac:dyDescent="0.25">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ht="15.75" customHeight="1" x14ac:dyDescent="0.25">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ht="15.75" customHeight="1" x14ac:dyDescent="0.25">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ht="15.75" customHeight="1" x14ac:dyDescent="0.25">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ht="15.75" customHeight="1" x14ac:dyDescent="0.25">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ht="15.75" customHeight="1" x14ac:dyDescent="0.25">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ht="15.75" customHeight="1" x14ac:dyDescent="0.25">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ht="15.75" customHeight="1" x14ac:dyDescent="0.2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ht="15.75" customHeight="1" x14ac:dyDescent="0.25">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ht="15.75" customHeight="1" x14ac:dyDescent="0.25">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ht="15.75" customHeight="1" x14ac:dyDescent="0.25">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ht="15.75" customHeight="1" x14ac:dyDescent="0.25">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ht="15.75" customHeight="1" x14ac:dyDescent="0.25">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ht="15.75" customHeight="1" x14ac:dyDescent="0.25">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ht="15.75" customHeight="1" x14ac:dyDescent="0.25">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ht="15.75" customHeight="1" x14ac:dyDescent="0.25">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ht="15.75" customHeight="1" x14ac:dyDescent="0.25">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ht="15.75" customHeight="1" x14ac:dyDescent="0.2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ht="15.75" customHeight="1" x14ac:dyDescent="0.25">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ht="15.75" customHeight="1" x14ac:dyDescent="0.25">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ht="15.75" customHeight="1" x14ac:dyDescent="0.25">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ht="15.75" customHeight="1" x14ac:dyDescent="0.25">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ht="15.75" customHeight="1" x14ac:dyDescent="0.25">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ht="15.75" customHeight="1" x14ac:dyDescent="0.25">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ht="15.75" customHeight="1" x14ac:dyDescent="0.25">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ht="15.75" customHeight="1" x14ac:dyDescent="0.25">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ht="15.75" customHeight="1" x14ac:dyDescent="0.25">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ht="15.75" customHeight="1" x14ac:dyDescent="0.2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ht="15.75" customHeight="1" x14ac:dyDescent="0.25">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ht="15.75" customHeight="1" x14ac:dyDescent="0.25">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ht="15.75" customHeight="1" x14ac:dyDescent="0.25">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ht="15.75" customHeight="1" x14ac:dyDescent="0.25">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ht="15.75" customHeight="1" x14ac:dyDescent="0.25">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ht="15.75" customHeight="1" x14ac:dyDescent="0.25">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ht="15.75" customHeight="1" x14ac:dyDescent="0.25">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ht="15.75" customHeight="1" x14ac:dyDescent="0.25">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ht="15.75" customHeight="1" x14ac:dyDescent="0.25">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ht="15.75" customHeight="1" x14ac:dyDescent="0.2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ht="15.75" customHeight="1" x14ac:dyDescent="0.25">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ht="15.75" customHeight="1" x14ac:dyDescent="0.25">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ht="15.75" customHeight="1" x14ac:dyDescent="0.25">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ht="15.75" customHeight="1" x14ac:dyDescent="0.25">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ht="15.75" customHeight="1" x14ac:dyDescent="0.25">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ht="15.75" customHeight="1" x14ac:dyDescent="0.25">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ht="15.75" customHeight="1" x14ac:dyDescent="0.25">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ht="15.75" customHeight="1" x14ac:dyDescent="0.25">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ht="15.75" customHeight="1" x14ac:dyDescent="0.25">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ht="15.75" customHeight="1" x14ac:dyDescent="0.2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sheetData>
  <mergeCells count="2">
    <mergeCell ref="D3:F3"/>
    <mergeCell ref="C4:G4"/>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95"/>
  <sheetViews>
    <sheetView workbookViewId="0"/>
  </sheetViews>
  <sheetFormatPr defaultColWidth="11.25" defaultRowHeight="15" customHeight="1" x14ac:dyDescent="0.25"/>
  <cols>
    <col min="1" max="1" width="10.625" customWidth="1"/>
    <col min="2" max="2" width="4.375" customWidth="1"/>
    <col min="3" max="3" width="32.25" customWidth="1"/>
    <col min="4" max="4" width="10.625" customWidth="1"/>
    <col min="5" max="5" width="7.625" customWidth="1"/>
    <col min="6" max="6" width="13" customWidth="1"/>
    <col min="7" max="7" width="59" customWidth="1"/>
    <col min="8" max="8" width="9.375" customWidth="1"/>
    <col min="9" max="9" width="34.625" customWidth="1"/>
    <col min="10" max="10" width="11.375" customWidth="1"/>
    <col min="11" max="11" width="8" customWidth="1"/>
    <col min="12" max="12" width="13.25" customWidth="1"/>
    <col min="13" max="13" width="57.75" customWidth="1"/>
    <col min="14" max="26" width="10.625" customWidth="1"/>
  </cols>
  <sheetData>
    <row r="1" spans="1:26" ht="15.75" customHeight="1" x14ac:dyDescent="0.25">
      <c r="A1" s="37"/>
      <c r="B1" s="37"/>
      <c r="C1" s="37"/>
      <c r="D1" s="37"/>
      <c r="E1" s="37"/>
      <c r="F1" s="37"/>
      <c r="G1" s="37"/>
      <c r="H1" s="37"/>
      <c r="I1" s="37"/>
      <c r="J1" s="37"/>
      <c r="K1" s="37"/>
      <c r="L1" s="37"/>
      <c r="M1" s="37"/>
      <c r="N1" s="37"/>
      <c r="O1" s="37"/>
      <c r="P1" s="37"/>
      <c r="Q1" s="37"/>
      <c r="R1" s="37"/>
      <c r="S1" s="37"/>
      <c r="T1" s="37"/>
      <c r="U1" s="37"/>
      <c r="V1" s="37"/>
      <c r="W1" s="37"/>
      <c r="X1" s="37"/>
      <c r="Y1" s="37"/>
      <c r="Z1" s="37"/>
    </row>
    <row r="2" spans="1:26" ht="15.75" customHeight="1" x14ac:dyDescent="0.25">
      <c r="A2" s="37"/>
      <c r="B2" s="37"/>
      <c r="C2" s="37"/>
      <c r="D2" s="37"/>
      <c r="E2" s="37"/>
      <c r="F2" s="37"/>
      <c r="G2" s="37"/>
      <c r="H2" s="37"/>
      <c r="I2" s="37"/>
      <c r="J2" s="37"/>
      <c r="K2" s="37"/>
      <c r="L2" s="37"/>
      <c r="M2" s="37"/>
      <c r="N2" s="37"/>
      <c r="O2" s="37"/>
      <c r="P2" s="37"/>
      <c r="Q2" s="37"/>
      <c r="R2" s="37"/>
      <c r="S2" s="37"/>
      <c r="T2" s="37"/>
      <c r="U2" s="37"/>
      <c r="V2" s="37"/>
      <c r="W2" s="37"/>
      <c r="X2" s="37"/>
      <c r="Y2" s="37"/>
      <c r="Z2" s="37"/>
    </row>
    <row r="3" spans="1:26" ht="51" customHeight="1" x14ac:dyDescent="0.25">
      <c r="A3" s="37"/>
      <c r="B3" s="37"/>
      <c r="C3" s="38" t="s">
        <v>0</v>
      </c>
      <c r="D3" s="151" t="s">
        <v>4</v>
      </c>
      <c r="E3" s="147"/>
      <c r="F3" s="147"/>
      <c r="G3" s="39"/>
      <c r="H3" s="37"/>
      <c r="I3" s="37"/>
      <c r="J3" s="37"/>
      <c r="K3" s="37"/>
      <c r="L3" s="37"/>
      <c r="M3" s="37"/>
      <c r="N3" s="37"/>
      <c r="O3" s="37"/>
      <c r="P3" s="37"/>
      <c r="Q3" s="37"/>
      <c r="R3" s="37"/>
      <c r="S3" s="37"/>
      <c r="T3" s="37"/>
      <c r="U3" s="37"/>
      <c r="V3" s="37"/>
      <c r="W3" s="37"/>
      <c r="X3" s="37"/>
      <c r="Y3" s="37"/>
      <c r="Z3" s="37"/>
    </row>
    <row r="4" spans="1:26" ht="61.5" customHeight="1" x14ac:dyDescent="0.25">
      <c r="A4" s="37"/>
      <c r="B4" s="37"/>
      <c r="C4" s="148" t="s">
        <v>18</v>
      </c>
      <c r="D4" s="149"/>
      <c r="E4" s="149"/>
      <c r="F4" s="149"/>
      <c r="G4" s="150"/>
      <c r="H4" s="37"/>
      <c r="I4" s="37"/>
      <c r="J4" s="40"/>
      <c r="K4" s="40"/>
      <c r="L4" s="37"/>
      <c r="M4" s="37"/>
      <c r="N4" s="37"/>
      <c r="O4" s="37"/>
      <c r="P4" s="37"/>
      <c r="Q4" s="37"/>
      <c r="R4" s="37"/>
      <c r="S4" s="37"/>
      <c r="T4" s="37"/>
      <c r="U4" s="37"/>
      <c r="V4" s="37"/>
      <c r="W4" s="37"/>
      <c r="X4" s="37"/>
      <c r="Y4" s="37"/>
      <c r="Z4" s="37"/>
    </row>
    <row r="5" spans="1:26" ht="61.5" hidden="1" customHeight="1" x14ac:dyDescent="0.25">
      <c r="A5" s="37"/>
      <c r="B5" s="37"/>
      <c r="E5" s="41">
        <v>100</v>
      </c>
      <c r="F5" s="37"/>
      <c r="G5" s="37"/>
      <c r="H5" s="37"/>
      <c r="I5" s="37"/>
      <c r="J5" s="40">
        <f>D4</f>
        <v>0</v>
      </c>
      <c r="K5" s="40">
        <f>E5</f>
        <v>100</v>
      </c>
      <c r="L5" s="37"/>
      <c r="M5" s="37"/>
      <c r="N5" s="37"/>
      <c r="O5" s="37"/>
      <c r="P5" s="37"/>
      <c r="Q5" s="37"/>
      <c r="R5" s="37"/>
      <c r="S5" s="37"/>
      <c r="T5" s="37"/>
      <c r="U5" s="37"/>
      <c r="V5" s="37"/>
      <c r="W5" s="37"/>
      <c r="X5" s="37"/>
      <c r="Y5" s="37"/>
      <c r="Z5" s="37"/>
    </row>
    <row r="6" spans="1:26" ht="62.25" customHeight="1" x14ac:dyDescent="0.25">
      <c r="A6" s="37"/>
      <c r="B6" s="37"/>
      <c r="C6" s="42" t="str">
        <f>'Visual Summary'!B5</f>
        <v xml:space="preserve">Economic Potential </v>
      </c>
      <c r="D6" s="43" t="s">
        <v>98</v>
      </c>
      <c r="E6" s="44" t="s">
        <v>20</v>
      </c>
      <c r="F6" s="45" t="s">
        <v>21</v>
      </c>
      <c r="G6" s="46" t="s">
        <v>22</v>
      </c>
      <c r="H6" s="37"/>
      <c r="I6" s="47" t="str">
        <f>'Visual Summary'!B9</f>
        <v>PWD Opportunities</v>
      </c>
      <c r="J6" s="48" t="s">
        <v>19</v>
      </c>
      <c r="K6" s="49" t="s">
        <v>20</v>
      </c>
      <c r="L6" s="50" t="s">
        <v>21</v>
      </c>
      <c r="M6" s="51" t="s">
        <v>22</v>
      </c>
      <c r="N6" s="37"/>
      <c r="O6" s="37"/>
      <c r="P6" s="37"/>
      <c r="Q6" s="37"/>
      <c r="R6" s="37"/>
      <c r="S6" s="37"/>
      <c r="T6" s="37"/>
      <c r="U6" s="37"/>
      <c r="V6" s="37"/>
      <c r="W6" s="37"/>
      <c r="X6" s="37"/>
      <c r="Y6" s="37"/>
      <c r="Z6" s="37"/>
    </row>
    <row r="7" spans="1:26" ht="117" customHeight="1" x14ac:dyDescent="0.4">
      <c r="A7" s="37"/>
      <c r="B7" s="37">
        <v>1</v>
      </c>
      <c r="C7" s="52" t="s">
        <v>23</v>
      </c>
      <c r="D7" s="53">
        <v>1</v>
      </c>
      <c r="E7" s="54">
        <v>30</v>
      </c>
      <c r="F7" s="55">
        <f t="shared" ref="F7:F11" si="0">(((D7*E7)/3))</f>
        <v>10</v>
      </c>
      <c r="G7" s="56" t="s">
        <v>99</v>
      </c>
      <c r="H7" s="57">
        <v>15</v>
      </c>
      <c r="I7" s="58" t="s">
        <v>25</v>
      </c>
      <c r="J7" s="53">
        <v>2</v>
      </c>
      <c r="K7" s="54">
        <v>20</v>
      </c>
      <c r="L7" s="55">
        <f t="shared" ref="L7:L11" si="1">(((J7*K7)/3))</f>
        <v>13.333333333333334</v>
      </c>
      <c r="M7" s="131" t="s">
        <v>100</v>
      </c>
      <c r="N7" s="37"/>
      <c r="O7" s="37"/>
      <c r="P7" s="37"/>
      <c r="Q7" s="37"/>
      <c r="R7" s="37"/>
      <c r="S7" s="37"/>
      <c r="T7" s="37"/>
      <c r="U7" s="37"/>
      <c r="V7" s="37"/>
      <c r="W7" s="37"/>
      <c r="X7" s="37"/>
      <c r="Y7" s="37"/>
      <c r="Z7" s="37"/>
    </row>
    <row r="8" spans="1:26" ht="60.75" customHeight="1" x14ac:dyDescent="0.4">
      <c r="A8" s="37"/>
      <c r="B8" s="37">
        <v>2</v>
      </c>
      <c r="C8" s="132" t="s">
        <v>27</v>
      </c>
      <c r="D8" s="53">
        <v>1</v>
      </c>
      <c r="E8" s="54">
        <v>10</v>
      </c>
      <c r="F8" s="55">
        <f t="shared" si="0"/>
        <v>3.3333333333333335</v>
      </c>
      <c r="G8" s="56" t="s">
        <v>101</v>
      </c>
      <c r="H8" s="57">
        <v>16</v>
      </c>
      <c r="I8" s="58" t="s">
        <v>29</v>
      </c>
      <c r="J8" s="53">
        <v>2</v>
      </c>
      <c r="K8" s="54">
        <v>20</v>
      </c>
      <c r="L8" s="60">
        <f t="shared" si="1"/>
        <v>13.333333333333334</v>
      </c>
      <c r="M8" s="133" t="s">
        <v>102</v>
      </c>
      <c r="N8" s="37"/>
      <c r="O8" s="37"/>
      <c r="P8" s="37"/>
      <c r="Q8" s="37"/>
      <c r="R8" s="37"/>
      <c r="S8" s="37"/>
      <c r="T8" s="37"/>
      <c r="U8" s="37"/>
      <c r="V8" s="37"/>
      <c r="W8" s="37"/>
      <c r="X8" s="37"/>
      <c r="Y8" s="37"/>
      <c r="Z8" s="37"/>
    </row>
    <row r="9" spans="1:26" ht="101.25" customHeight="1" x14ac:dyDescent="0.4">
      <c r="A9" s="37"/>
      <c r="B9" s="37">
        <v>3</v>
      </c>
      <c r="C9" s="52" t="s">
        <v>31</v>
      </c>
      <c r="D9" s="53">
        <v>1</v>
      </c>
      <c r="E9" s="54">
        <v>10</v>
      </c>
      <c r="F9" s="55">
        <f t="shared" si="0"/>
        <v>3.3333333333333335</v>
      </c>
      <c r="G9" s="56" t="s">
        <v>103</v>
      </c>
      <c r="H9" s="57">
        <v>17</v>
      </c>
      <c r="I9" s="58" t="s">
        <v>33</v>
      </c>
      <c r="J9" s="53">
        <v>1</v>
      </c>
      <c r="K9" s="54">
        <v>20</v>
      </c>
      <c r="L9" s="60">
        <f t="shared" si="1"/>
        <v>6.666666666666667</v>
      </c>
      <c r="M9" s="134" t="s">
        <v>104</v>
      </c>
      <c r="N9" s="37"/>
      <c r="O9" s="37"/>
      <c r="P9" s="37"/>
      <c r="Q9" s="37"/>
      <c r="R9" s="37"/>
      <c r="S9" s="37"/>
      <c r="T9" s="37"/>
      <c r="U9" s="37"/>
      <c r="V9" s="37"/>
      <c r="W9" s="37"/>
      <c r="X9" s="37"/>
      <c r="Y9" s="37"/>
      <c r="Z9" s="37"/>
    </row>
    <row r="10" spans="1:26" ht="97.5" customHeight="1" x14ac:dyDescent="0.4">
      <c r="A10" s="37"/>
      <c r="B10" s="37">
        <v>4</v>
      </c>
      <c r="C10" s="52" t="s">
        <v>35</v>
      </c>
      <c r="D10" s="53">
        <v>2</v>
      </c>
      <c r="E10" s="54">
        <v>30</v>
      </c>
      <c r="F10" s="55">
        <f t="shared" si="0"/>
        <v>20</v>
      </c>
      <c r="G10" s="56" t="s">
        <v>105</v>
      </c>
      <c r="H10" s="57">
        <v>18</v>
      </c>
      <c r="I10" s="58" t="s">
        <v>37</v>
      </c>
      <c r="J10" s="53">
        <v>1</v>
      </c>
      <c r="K10" s="54">
        <v>20</v>
      </c>
      <c r="L10" s="60">
        <f t="shared" si="1"/>
        <v>6.666666666666667</v>
      </c>
      <c r="M10" s="59" t="s">
        <v>106</v>
      </c>
      <c r="N10" s="37"/>
      <c r="O10" s="37"/>
      <c r="P10" s="37"/>
      <c r="Q10" s="37"/>
      <c r="R10" s="37"/>
      <c r="S10" s="37"/>
      <c r="T10" s="37"/>
      <c r="U10" s="37"/>
      <c r="V10" s="37"/>
      <c r="W10" s="37"/>
      <c r="X10" s="37"/>
      <c r="Y10" s="37"/>
      <c r="Z10" s="37"/>
    </row>
    <row r="11" spans="1:26" ht="114.75" customHeight="1" x14ac:dyDescent="0.25">
      <c r="A11" s="37"/>
      <c r="B11" s="37">
        <v>5</v>
      </c>
      <c r="C11" s="61" t="s">
        <v>39</v>
      </c>
      <c r="D11" s="53">
        <v>1</v>
      </c>
      <c r="E11" s="54">
        <v>20</v>
      </c>
      <c r="F11" s="55">
        <f t="shared" si="0"/>
        <v>6.666666666666667</v>
      </c>
      <c r="G11" s="56" t="s">
        <v>107</v>
      </c>
      <c r="H11" s="57">
        <v>19</v>
      </c>
      <c r="I11" s="58" t="s">
        <v>41</v>
      </c>
      <c r="J11" s="53">
        <v>0</v>
      </c>
      <c r="K11" s="54">
        <v>20</v>
      </c>
      <c r="L11" s="60">
        <f t="shared" si="1"/>
        <v>0</v>
      </c>
      <c r="M11" s="59" t="s">
        <v>108</v>
      </c>
      <c r="N11" s="37"/>
      <c r="O11" s="37"/>
      <c r="P11" s="37"/>
      <c r="Q11" s="37"/>
      <c r="R11" s="37"/>
      <c r="S11" s="37"/>
      <c r="T11" s="37"/>
      <c r="U11" s="37"/>
      <c r="V11" s="37"/>
      <c r="W11" s="37"/>
      <c r="X11" s="37"/>
      <c r="Y11" s="37"/>
      <c r="Z11" s="37"/>
    </row>
    <row r="12" spans="1:26" ht="15.75" customHeight="1" x14ac:dyDescent="0.25">
      <c r="A12" s="37"/>
      <c r="B12" s="37"/>
      <c r="C12" s="62" t="s">
        <v>43</v>
      </c>
      <c r="D12" s="63"/>
      <c r="E12" s="64">
        <f>SUM(E7:E11)</f>
        <v>100</v>
      </c>
      <c r="F12" s="65">
        <f>(SUM(F7:F11))/10</f>
        <v>4.3333333333333339</v>
      </c>
      <c r="G12" s="66"/>
      <c r="H12" s="37"/>
      <c r="I12" s="67" t="s">
        <v>43</v>
      </c>
      <c r="J12" s="68"/>
      <c r="K12" s="69">
        <f>SUM(K7:K11)</f>
        <v>100</v>
      </c>
      <c r="L12" s="70">
        <f>(SUM(L7:L11))/10</f>
        <v>4</v>
      </c>
      <c r="M12" s="59"/>
      <c r="N12" s="37"/>
      <c r="O12" s="37"/>
      <c r="P12" s="37"/>
      <c r="Q12" s="37"/>
      <c r="R12" s="37"/>
      <c r="S12" s="37"/>
      <c r="T12" s="37"/>
      <c r="U12" s="37"/>
      <c r="V12" s="37"/>
      <c r="W12" s="37"/>
      <c r="X12" s="37"/>
      <c r="Y12" s="37"/>
      <c r="Z12" s="37"/>
    </row>
    <row r="13" spans="1:26" ht="15.75" customHeight="1" x14ac:dyDescent="0.25">
      <c r="A13" s="37"/>
      <c r="B13" s="37"/>
      <c r="C13" s="58"/>
      <c r="D13" s="37"/>
      <c r="E13" s="37"/>
      <c r="F13" s="37"/>
      <c r="G13" s="71"/>
      <c r="H13" s="37"/>
      <c r="I13" s="37"/>
      <c r="J13" s="37"/>
      <c r="K13" s="37"/>
      <c r="L13" s="37"/>
      <c r="M13" s="37"/>
      <c r="N13" s="37"/>
      <c r="O13" s="37"/>
      <c r="P13" s="37"/>
      <c r="Q13" s="37"/>
      <c r="R13" s="37"/>
      <c r="S13" s="37"/>
      <c r="T13" s="37"/>
      <c r="U13" s="37"/>
      <c r="V13" s="37"/>
      <c r="W13" s="37"/>
      <c r="X13" s="37"/>
      <c r="Y13" s="37"/>
      <c r="Z13" s="37"/>
    </row>
    <row r="14" spans="1:26" ht="15.75" customHeight="1" x14ac:dyDescent="0.25">
      <c r="A14" s="37"/>
      <c r="B14" s="37"/>
      <c r="C14" s="58"/>
      <c r="D14" s="37"/>
      <c r="E14" s="37"/>
      <c r="F14" s="37"/>
      <c r="G14" s="71"/>
      <c r="H14" s="37"/>
      <c r="I14" s="37"/>
      <c r="J14" s="37"/>
      <c r="K14" s="37"/>
      <c r="L14" s="37"/>
      <c r="M14" s="37"/>
      <c r="N14" s="37"/>
      <c r="O14" s="37"/>
      <c r="P14" s="37"/>
      <c r="Q14" s="37"/>
      <c r="R14" s="37"/>
      <c r="S14" s="37"/>
      <c r="T14" s="37"/>
      <c r="U14" s="37"/>
      <c r="V14" s="37"/>
      <c r="W14" s="37"/>
      <c r="X14" s="37"/>
      <c r="Y14" s="37"/>
      <c r="Z14" s="37"/>
    </row>
    <row r="15" spans="1:26" ht="70.5" customHeight="1" x14ac:dyDescent="0.25">
      <c r="A15" s="37"/>
      <c r="B15" s="37"/>
      <c r="C15" s="72" t="str">
        <f>'Visual Summary'!B6</f>
        <v xml:space="preserve">Pro-Poor Potential </v>
      </c>
      <c r="D15" s="73" t="s">
        <v>19</v>
      </c>
      <c r="E15" s="74" t="s">
        <v>20</v>
      </c>
      <c r="F15" s="75" t="s">
        <v>21</v>
      </c>
      <c r="G15" s="76" t="s">
        <v>22</v>
      </c>
      <c r="H15" s="37"/>
      <c r="I15" s="77" t="str">
        <f>'Visual Summary'!B10</f>
        <v>WEE Opportunitiies</v>
      </c>
      <c r="J15" s="78" t="s">
        <v>19</v>
      </c>
      <c r="K15" s="79" t="s">
        <v>20</v>
      </c>
      <c r="L15" s="80" t="s">
        <v>21</v>
      </c>
      <c r="M15" s="81" t="s">
        <v>22</v>
      </c>
      <c r="N15" s="37"/>
      <c r="O15" s="37"/>
      <c r="P15" s="37"/>
      <c r="Q15" s="37"/>
      <c r="R15" s="37"/>
      <c r="S15" s="37"/>
      <c r="T15" s="37"/>
      <c r="U15" s="37"/>
      <c r="V15" s="37"/>
      <c r="W15" s="37"/>
      <c r="X15" s="37"/>
      <c r="Y15" s="37"/>
      <c r="Z15" s="37"/>
    </row>
    <row r="16" spans="1:26" ht="63" x14ac:dyDescent="0.25">
      <c r="A16" s="37"/>
      <c r="B16" s="37">
        <v>6</v>
      </c>
      <c r="C16" s="61" t="s">
        <v>44</v>
      </c>
      <c r="D16" s="53">
        <v>2</v>
      </c>
      <c r="E16" s="82">
        <v>20</v>
      </c>
      <c r="F16" s="83">
        <f t="shared" ref="F16:F20" si="2">(((D16*E16)/3))</f>
        <v>13.333333333333334</v>
      </c>
      <c r="G16" s="135" t="s">
        <v>109</v>
      </c>
      <c r="H16" s="57">
        <v>20</v>
      </c>
      <c r="I16" s="58" t="s">
        <v>46</v>
      </c>
      <c r="J16" s="53">
        <v>2</v>
      </c>
      <c r="K16" s="54">
        <v>20</v>
      </c>
      <c r="L16" s="55">
        <f t="shared" ref="L16:L20" si="3">(((J16*K16)/3))</f>
        <v>13.333333333333334</v>
      </c>
      <c r="M16" s="59" t="s">
        <v>110</v>
      </c>
      <c r="N16" s="37"/>
      <c r="O16" s="37"/>
      <c r="P16" s="37"/>
      <c r="Q16" s="37"/>
      <c r="R16" s="37"/>
      <c r="S16" s="37"/>
      <c r="T16" s="37"/>
      <c r="U16" s="37"/>
      <c r="V16" s="37"/>
      <c r="W16" s="37"/>
      <c r="X16" s="37"/>
      <c r="Y16" s="37"/>
      <c r="Z16" s="37"/>
    </row>
    <row r="17" spans="1:26" ht="83.25" customHeight="1" x14ac:dyDescent="0.25">
      <c r="A17" s="37"/>
      <c r="B17" s="37">
        <v>7</v>
      </c>
      <c r="C17" s="61" t="s">
        <v>48</v>
      </c>
      <c r="D17" s="53">
        <v>2</v>
      </c>
      <c r="E17" s="82">
        <v>20</v>
      </c>
      <c r="F17" s="83">
        <f t="shared" si="2"/>
        <v>13.333333333333334</v>
      </c>
      <c r="G17" s="136" t="s">
        <v>111</v>
      </c>
      <c r="H17" s="57">
        <v>21</v>
      </c>
      <c r="I17" s="58" t="s">
        <v>50</v>
      </c>
      <c r="J17" s="53">
        <v>2</v>
      </c>
      <c r="K17" s="54">
        <v>20</v>
      </c>
      <c r="L17" s="60">
        <f t="shared" si="3"/>
        <v>13.333333333333334</v>
      </c>
      <c r="M17" s="59" t="s">
        <v>112</v>
      </c>
      <c r="N17" s="37"/>
      <c r="O17" s="37"/>
      <c r="P17" s="37"/>
      <c r="Q17" s="37"/>
      <c r="R17" s="37"/>
      <c r="S17" s="37"/>
      <c r="T17" s="37"/>
      <c r="U17" s="37"/>
      <c r="V17" s="37"/>
      <c r="W17" s="37"/>
      <c r="X17" s="37"/>
      <c r="Y17" s="37"/>
      <c r="Z17" s="37"/>
    </row>
    <row r="18" spans="1:26" ht="63" x14ac:dyDescent="0.25">
      <c r="A18" s="37"/>
      <c r="B18" s="37">
        <v>8</v>
      </c>
      <c r="C18" s="61" t="s">
        <v>52</v>
      </c>
      <c r="D18" s="53">
        <v>3</v>
      </c>
      <c r="E18" s="82">
        <v>20</v>
      </c>
      <c r="F18" s="83">
        <f t="shared" si="2"/>
        <v>20</v>
      </c>
      <c r="G18" s="136" t="s">
        <v>113</v>
      </c>
      <c r="H18" s="57">
        <v>22</v>
      </c>
      <c r="I18" s="58" t="s">
        <v>54</v>
      </c>
      <c r="J18" s="53">
        <v>3</v>
      </c>
      <c r="K18" s="54">
        <v>20</v>
      </c>
      <c r="L18" s="60">
        <f t="shared" si="3"/>
        <v>20</v>
      </c>
      <c r="M18" s="59" t="s">
        <v>114</v>
      </c>
      <c r="N18" s="37"/>
      <c r="O18" s="37"/>
      <c r="P18" s="37"/>
      <c r="Q18" s="37"/>
      <c r="R18" s="37"/>
      <c r="S18" s="37"/>
      <c r="T18" s="37"/>
      <c r="U18" s="37"/>
      <c r="V18" s="37"/>
      <c r="W18" s="37"/>
      <c r="X18" s="37"/>
      <c r="Y18" s="37"/>
      <c r="Z18" s="37"/>
    </row>
    <row r="19" spans="1:26" ht="60.75" customHeight="1" x14ac:dyDescent="0.25">
      <c r="A19" s="37"/>
      <c r="B19" s="37">
        <v>9</v>
      </c>
      <c r="C19" s="61" t="s">
        <v>56</v>
      </c>
      <c r="D19" s="53">
        <v>2</v>
      </c>
      <c r="E19" s="82">
        <v>20</v>
      </c>
      <c r="F19" s="83">
        <f t="shared" si="2"/>
        <v>13.333333333333334</v>
      </c>
      <c r="G19" s="136" t="s">
        <v>115</v>
      </c>
      <c r="H19" s="57">
        <v>23</v>
      </c>
      <c r="I19" s="58" t="s">
        <v>58</v>
      </c>
      <c r="J19" s="53">
        <v>1</v>
      </c>
      <c r="K19" s="54">
        <v>20</v>
      </c>
      <c r="L19" s="60">
        <f t="shared" si="3"/>
        <v>6.666666666666667</v>
      </c>
      <c r="M19" s="59" t="s">
        <v>116</v>
      </c>
      <c r="N19" s="37"/>
      <c r="O19" s="37"/>
      <c r="P19" s="37"/>
      <c r="Q19" s="37"/>
      <c r="R19" s="37"/>
      <c r="S19" s="37"/>
      <c r="T19" s="37"/>
      <c r="U19" s="37"/>
      <c r="V19" s="37"/>
      <c r="W19" s="37"/>
      <c r="X19" s="37"/>
      <c r="Y19" s="37"/>
      <c r="Z19" s="37"/>
    </row>
    <row r="20" spans="1:26" ht="60" customHeight="1" x14ac:dyDescent="0.25">
      <c r="A20" s="37"/>
      <c r="B20" s="37">
        <v>10</v>
      </c>
      <c r="C20" s="84" t="s">
        <v>60</v>
      </c>
      <c r="D20" s="85">
        <v>1</v>
      </c>
      <c r="E20" s="86">
        <v>20</v>
      </c>
      <c r="F20" s="87">
        <f t="shared" si="2"/>
        <v>6.666666666666667</v>
      </c>
      <c r="G20" s="137" t="s">
        <v>117</v>
      </c>
      <c r="H20" s="57">
        <v>24</v>
      </c>
      <c r="I20" s="58" t="s">
        <v>62</v>
      </c>
      <c r="J20" s="53">
        <v>2</v>
      </c>
      <c r="K20" s="54">
        <v>20</v>
      </c>
      <c r="L20" s="60">
        <f t="shared" si="3"/>
        <v>13.333333333333334</v>
      </c>
      <c r="M20" s="59" t="s">
        <v>118</v>
      </c>
      <c r="N20" s="37"/>
      <c r="O20" s="37"/>
      <c r="P20" s="37"/>
      <c r="Q20" s="37"/>
      <c r="R20" s="37"/>
      <c r="S20" s="37"/>
      <c r="T20" s="37"/>
      <c r="U20" s="37"/>
      <c r="V20" s="37"/>
      <c r="W20" s="37"/>
      <c r="X20" s="37"/>
      <c r="Y20" s="37"/>
      <c r="Z20" s="37"/>
    </row>
    <row r="21" spans="1:26" ht="15.75" customHeight="1" x14ac:dyDescent="0.25">
      <c r="A21" s="37"/>
      <c r="B21" s="37"/>
      <c r="C21" s="58" t="s">
        <v>64</v>
      </c>
      <c r="D21" s="88"/>
      <c r="E21" s="82">
        <f>SUM(E16:E20)</f>
        <v>100</v>
      </c>
      <c r="F21" s="82">
        <f>(SUM(F16:F20))/10</f>
        <v>6.666666666666667</v>
      </c>
      <c r="G21" s="59"/>
      <c r="H21" s="37"/>
      <c r="I21" s="89" t="s">
        <v>43</v>
      </c>
      <c r="J21" s="90"/>
      <c r="K21" s="91">
        <f>SUM(K16:K20)</f>
        <v>100</v>
      </c>
      <c r="L21" s="92">
        <f>(SUM(L16:L20))/10</f>
        <v>6.666666666666667</v>
      </c>
      <c r="M21" s="59"/>
      <c r="N21" s="37"/>
      <c r="O21" s="37"/>
      <c r="P21" s="37"/>
      <c r="Q21" s="37"/>
      <c r="R21" s="37"/>
      <c r="S21" s="37"/>
      <c r="T21" s="37"/>
      <c r="U21" s="37"/>
      <c r="V21" s="37"/>
      <c r="W21" s="37"/>
      <c r="X21" s="37"/>
      <c r="Y21" s="37"/>
      <c r="Z21" s="37"/>
    </row>
    <row r="22" spans="1:26" ht="27" customHeight="1" x14ac:dyDescent="0.25">
      <c r="A22" s="37"/>
      <c r="B22" s="37"/>
      <c r="C22" s="37"/>
      <c r="D22" s="37"/>
      <c r="E22" s="37"/>
      <c r="F22" s="37"/>
      <c r="G22" s="37"/>
      <c r="H22" s="37"/>
      <c r="I22" s="37"/>
      <c r="J22" s="37"/>
      <c r="K22" s="37"/>
      <c r="L22" s="37"/>
      <c r="N22" s="37"/>
      <c r="O22" s="37"/>
      <c r="P22" s="37"/>
      <c r="Q22" s="37"/>
      <c r="R22" s="37"/>
      <c r="S22" s="37"/>
      <c r="T22" s="37"/>
      <c r="U22" s="37"/>
      <c r="V22" s="37"/>
      <c r="W22" s="37"/>
      <c r="X22" s="37"/>
      <c r="Y22" s="37"/>
      <c r="Z22" s="37"/>
    </row>
    <row r="23" spans="1:26" ht="70.5" customHeight="1" x14ac:dyDescent="0.25">
      <c r="A23" s="37"/>
      <c r="B23" s="37"/>
      <c r="C23" s="93" t="str">
        <f>'Visual Summary'!B7</f>
        <v xml:space="preserve">Green Growth Potential </v>
      </c>
      <c r="D23" s="94" t="s">
        <v>19</v>
      </c>
      <c r="E23" s="95" t="s">
        <v>20</v>
      </c>
      <c r="F23" s="96" t="s">
        <v>21</v>
      </c>
      <c r="G23" s="96" t="s">
        <v>22</v>
      </c>
      <c r="H23" s="37"/>
      <c r="I23" s="97" t="str">
        <f>'Visual Summary'!B11</f>
        <v xml:space="preserve">Quick Win Potential </v>
      </c>
      <c r="J23" s="98" t="s">
        <v>19</v>
      </c>
      <c r="K23" s="99" t="s">
        <v>20</v>
      </c>
      <c r="L23" s="100" t="s">
        <v>21</v>
      </c>
      <c r="M23" s="101" t="s">
        <v>22</v>
      </c>
      <c r="N23" s="37"/>
      <c r="O23" s="37"/>
      <c r="P23" s="37"/>
      <c r="Q23" s="37"/>
      <c r="R23" s="37"/>
      <c r="S23" s="37"/>
      <c r="T23" s="37"/>
      <c r="U23" s="37"/>
      <c r="V23" s="37"/>
      <c r="W23" s="37"/>
      <c r="X23" s="37"/>
      <c r="Y23" s="37"/>
      <c r="Z23" s="37"/>
    </row>
    <row r="24" spans="1:26" ht="63" x14ac:dyDescent="0.25">
      <c r="A24" s="37"/>
      <c r="B24" s="37">
        <v>6</v>
      </c>
      <c r="C24" s="58" t="s">
        <v>65</v>
      </c>
      <c r="D24" s="53">
        <v>2</v>
      </c>
      <c r="E24" s="82">
        <v>20</v>
      </c>
      <c r="F24" s="83">
        <f t="shared" ref="F24:F28" si="4">(((D24*E24)/3))</f>
        <v>13.333333333333334</v>
      </c>
      <c r="G24" s="102" t="s">
        <v>119</v>
      </c>
      <c r="H24" s="57">
        <v>20</v>
      </c>
      <c r="I24" s="58" t="s">
        <v>67</v>
      </c>
      <c r="J24" s="53">
        <v>2</v>
      </c>
      <c r="K24" s="54">
        <v>10</v>
      </c>
      <c r="L24" s="55">
        <f t="shared" ref="L24:L28" si="5">(((J24*K24)/3))</f>
        <v>6.666666666666667</v>
      </c>
      <c r="M24" s="59" t="s">
        <v>120</v>
      </c>
      <c r="N24" s="37"/>
      <c r="O24" s="37"/>
      <c r="P24" s="37"/>
      <c r="Q24" s="37"/>
      <c r="R24" s="37"/>
      <c r="S24" s="37"/>
      <c r="T24" s="37"/>
      <c r="U24" s="37"/>
      <c r="V24" s="37"/>
      <c r="W24" s="37"/>
      <c r="X24" s="37"/>
      <c r="Y24" s="37"/>
      <c r="Z24" s="37"/>
    </row>
    <row r="25" spans="1:26" ht="83.25" customHeight="1" x14ac:dyDescent="0.25">
      <c r="A25" s="37"/>
      <c r="B25" s="37">
        <v>7</v>
      </c>
      <c r="C25" s="58" t="s">
        <v>69</v>
      </c>
      <c r="D25" s="53">
        <v>2</v>
      </c>
      <c r="E25" s="82">
        <v>20</v>
      </c>
      <c r="F25" s="83">
        <f t="shared" si="4"/>
        <v>13.333333333333334</v>
      </c>
      <c r="G25" s="102" t="s">
        <v>121</v>
      </c>
      <c r="H25" s="57">
        <v>21</v>
      </c>
      <c r="I25" s="58" t="s">
        <v>71</v>
      </c>
      <c r="J25" s="53">
        <v>1</v>
      </c>
      <c r="K25" s="54">
        <v>15</v>
      </c>
      <c r="L25" s="60">
        <f t="shared" si="5"/>
        <v>5</v>
      </c>
      <c r="M25" s="59" t="s">
        <v>122</v>
      </c>
      <c r="N25" s="37"/>
      <c r="O25" s="37"/>
      <c r="P25" s="37"/>
      <c r="Q25" s="37"/>
      <c r="R25" s="37"/>
      <c r="S25" s="37"/>
      <c r="T25" s="37"/>
      <c r="U25" s="37"/>
      <c r="V25" s="37"/>
      <c r="W25" s="37"/>
      <c r="X25" s="37"/>
      <c r="Y25" s="37"/>
      <c r="Z25" s="37"/>
    </row>
    <row r="26" spans="1:26" ht="63" x14ac:dyDescent="0.25">
      <c r="A26" s="37"/>
      <c r="B26" s="37">
        <v>8</v>
      </c>
      <c r="C26" s="58" t="s">
        <v>73</v>
      </c>
      <c r="D26" s="53">
        <v>1</v>
      </c>
      <c r="E26" s="82">
        <v>20</v>
      </c>
      <c r="F26" s="83">
        <f t="shared" si="4"/>
        <v>6.666666666666667</v>
      </c>
      <c r="G26" s="102" t="s">
        <v>123</v>
      </c>
      <c r="H26" s="57">
        <v>22</v>
      </c>
      <c r="I26" s="58" t="s">
        <v>75</v>
      </c>
      <c r="J26" s="53">
        <v>2</v>
      </c>
      <c r="K26" s="54">
        <v>20</v>
      </c>
      <c r="L26" s="60">
        <f t="shared" si="5"/>
        <v>13.333333333333334</v>
      </c>
      <c r="M26" s="59" t="s">
        <v>124</v>
      </c>
      <c r="N26" s="37"/>
      <c r="O26" s="37"/>
      <c r="P26" s="37"/>
      <c r="Q26" s="37"/>
      <c r="R26" s="37"/>
      <c r="S26" s="37"/>
      <c r="T26" s="37"/>
      <c r="U26" s="37"/>
      <c r="V26" s="37"/>
      <c r="W26" s="37"/>
      <c r="X26" s="37"/>
      <c r="Y26" s="37"/>
      <c r="Z26" s="37"/>
    </row>
    <row r="27" spans="1:26" ht="60.75" customHeight="1" x14ac:dyDescent="0.25">
      <c r="A27" s="37"/>
      <c r="B27" s="37">
        <v>9</v>
      </c>
      <c r="C27" s="58" t="s">
        <v>77</v>
      </c>
      <c r="D27" s="53">
        <v>1</v>
      </c>
      <c r="E27" s="82">
        <v>20</v>
      </c>
      <c r="F27" s="83">
        <f t="shared" si="4"/>
        <v>6.666666666666667</v>
      </c>
      <c r="G27" s="102" t="s">
        <v>125</v>
      </c>
      <c r="H27" s="57">
        <v>23</v>
      </c>
      <c r="I27" s="58" t="s">
        <v>79</v>
      </c>
      <c r="J27" s="53">
        <v>2</v>
      </c>
      <c r="K27" s="54">
        <v>25</v>
      </c>
      <c r="L27" s="60">
        <f t="shared" si="5"/>
        <v>16.666666666666668</v>
      </c>
      <c r="M27" s="59" t="s">
        <v>126</v>
      </c>
      <c r="N27" s="37"/>
      <c r="O27" s="37"/>
      <c r="P27" s="37"/>
      <c r="Q27" s="37"/>
      <c r="R27" s="37"/>
      <c r="S27" s="37"/>
      <c r="T27" s="37"/>
      <c r="U27" s="37"/>
      <c r="V27" s="37"/>
      <c r="W27" s="37"/>
      <c r="X27" s="37"/>
      <c r="Y27" s="37"/>
      <c r="Z27" s="37"/>
    </row>
    <row r="28" spans="1:26" ht="60" customHeight="1" x14ac:dyDescent="0.25">
      <c r="A28" s="37"/>
      <c r="B28" s="37">
        <v>10</v>
      </c>
      <c r="C28" s="58" t="s">
        <v>81</v>
      </c>
      <c r="D28" s="53">
        <v>1</v>
      </c>
      <c r="E28" s="82">
        <v>20</v>
      </c>
      <c r="F28" s="83">
        <f t="shared" si="4"/>
        <v>6.666666666666667</v>
      </c>
      <c r="G28" s="102" t="s">
        <v>127</v>
      </c>
      <c r="H28" s="57">
        <v>24</v>
      </c>
      <c r="I28" s="58" t="s">
        <v>83</v>
      </c>
      <c r="J28" s="53">
        <v>1</v>
      </c>
      <c r="K28" s="54">
        <v>30</v>
      </c>
      <c r="L28" s="60">
        <f t="shared" si="5"/>
        <v>10</v>
      </c>
      <c r="M28" s="59" t="s">
        <v>128</v>
      </c>
      <c r="N28" s="37"/>
      <c r="O28" s="37"/>
      <c r="P28" s="37"/>
      <c r="Q28" s="37"/>
      <c r="R28" s="37"/>
      <c r="S28" s="37"/>
      <c r="T28" s="37"/>
      <c r="U28" s="37"/>
      <c r="V28" s="37"/>
      <c r="W28" s="37"/>
      <c r="X28" s="37"/>
      <c r="Y28" s="37"/>
      <c r="Z28" s="37"/>
    </row>
    <row r="29" spans="1:26" ht="15.75" customHeight="1" x14ac:dyDescent="0.25">
      <c r="A29" s="37"/>
      <c r="B29" s="37"/>
      <c r="C29" s="103" t="s">
        <v>64</v>
      </c>
      <c r="D29" s="104"/>
      <c r="E29" s="105">
        <f>SUM(E24:E28)</f>
        <v>100</v>
      </c>
      <c r="F29" s="105">
        <f>(SUM(F24:F28))/10</f>
        <v>4.6666666666666661</v>
      </c>
      <c r="G29" s="106"/>
      <c r="H29" s="37"/>
      <c r="I29" s="89" t="s">
        <v>43</v>
      </c>
      <c r="J29" s="90"/>
      <c r="K29" s="91">
        <f>SUM(K24:K28)</f>
        <v>100</v>
      </c>
      <c r="L29" s="92">
        <f>(SUM(L24:L28))/10</f>
        <v>5.166666666666667</v>
      </c>
      <c r="M29" s="59"/>
      <c r="N29" s="37"/>
      <c r="O29" s="37"/>
      <c r="P29" s="37"/>
      <c r="Q29" s="37"/>
      <c r="R29" s="37"/>
      <c r="S29" s="37"/>
      <c r="T29" s="37"/>
      <c r="U29" s="37"/>
      <c r="V29" s="37"/>
      <c r="W29" s="37"/>
      <c r="X29" s="37"/>
      <c r="Y29" s="37"/>
      <c r="Z29" s="37"/>
    </row>
    <row r="30" spans="1:26" ht="31.5" customHeight="1" x14ac:dyDescent="0.25">
      <c r="A30" s="37"/>
      <c r="B30" s="37"/>
      <c r="C30" s="107"/>
      <c r="D30" s="108"/>
      <c r="E30" s="107"/>
      <c r="F30" s="107"/>
      <c r="G30" s="107"/>
      <c r="H30" s="37"/>
      <c r="I30" s="41"/>
      <c r="J30" s="41"/>
      <c r="K30" s="41"/>
      <c r="L30" s="41"/>
      <c r="M30" s="37"/>
      <c r="N30" s="37"/>
      <c r="O30" s="37"/>
      <c r="P30" s="37"/>
      <c r="Q30" s="37"/>
      <c r="R30" s="37"/>
      <c r="S30" s="37"/>
      <c r="T30" s="37"/>
      <c r="U30" s="37"/>
      <c r="V30" s="37"/>
      <c r="W30" s="37"/>
      <c r="X30" s="37"/>
      <c r="Y30" s="37"/>
      <c r="Z30" s="37"/>
    </row>
    <row r="31" spans="1:26" ht="31.5" customHeight="1" x14ac:dyDescent="0.25">
      <c r="A31" s="37"/>
      <c r="B31" s="37"/>
      <c r="C31" s="109" t="str">
        <f>'Visual Summary'!B8</f>
        <v xml:space="preserve">Systemic Change Potential </v>
      </c>
      <c r="D31" s="110" t="s">
        <v>19</v>
      </c>
      <c r="E31" s="111" t="s">
        <v>20</v>
      </c>
      <c r="F31" s="112" t="s">
        <v>21</v>
      </c>
      <c r="G31" s="112" t="s">
        <v>22</v>
      </c>
      <c r="H31" s="37"/>
      <c r="I31" s="113" t="s">
        <v>85</v>
      </c>
      <c r="J31" s="113"/>
      <c r="K31" s="113"/>
      <c r="L31" s="113" t="s">
        <v>21</v>
      </c>
      <c r="M31" s="37"/>
      <c r="N31" s="114" t="s">
        <v>86</v>
      </c>
      <c r="O31" s="115" t="s">
        <v>87</v>
      </c>
      <c r="P31" s="116" t="s">
        <v>21</v>
      </c>
      <c r="Q31" s="37"/>
      <c r="R31" s="37"/>
      <c r="S31" s="37"/>
      <c r="T31" s="37"/>
      <c r="U31" s="37"/>
      <c r="V31" s="37"/>
      <c r="W31" s="37"/>
      <c r="X31" s="37"/>
      <c r="Y31" s="37"/>
      <c r="Z31" s="37"/>
    </row>
    <row r="32" spans="1:26" ht="94.5" x14ac:dyDescent="0.35">
      <c r="A32" s="37"/>
      <c r="B32" s="37">
        <v>11</v>
      </c>
      <c r="C32" s="58" t="s">
        <v>88</v>
      </c>
      <c r="D32" s="53">
        <v>2</v>
      </c>
      <c r="E32" s="54">
        <v>20</v>
      </c>
      <c r="F32" s="117">
        <f t="shared" ref="F32:F36" si="6">(((D32*E32)/3))</f>
        <v>13.333333333333334</v>
      </c>
      <c r="G32" s="118" t="s">
        <v>129</v>
      </c>
      <c r="H32" s="37"/>
      <c r="I32" s="119" t="str">
        <f>C6</f>
        <v xml:space="preserve">Economic Potential </v>
      </c>
      <c r="J32" s="119"/>
      <c r="K32" s="119"/>
      <c r="L32" s="120">
        <f>F12</f>
        <v>4.3333333333333339</v>
      </c>
      <c r="M32" s="121"/>
      <c r="N32" s="122">
        <v>25</v>
      </c>
      <c r="O32" s="123">
        <v>0.43</v>
      </c>
      <c r="P32" s="122">
        <f t="shared" ref="P32:P38" si="7">N32*O32</f>
        <v>10.75</v>
      </c>
      <c r="Q32" s="37"/>
      <c r="R32" s="37"/>
      <c r="S32" s="37"/>
      <c r="T32" s="37"/>
      <c r="U32" s="37"/>
      <c r="V32" s="37"/>
      <c r="W32" s="37"/>
      <c r="X32" s="37"/>
      <c r="Y32" s="37"/>
      <c r="Z32" s="37"/>
    </row>
    <row r="33" spans="1:26" ht="78" customHeight="1" x14ac:dyDescent="0.35">
      <c r="A33" s="37"/>
      <c r="B33" s="37">
        <v>12</v>
      </c>
      <c r="C33" s="58" t="s">
        <v>90</v>
      </c>
      <c r="D33" s="53">
        <v>1</v>
      </c>
      <c r="E33" s="54">
        <v>20</v>
      </c>
      <c r="F33" s="117">
        <f t="shared" si="6"/>
        <v>6.666666666666667</v>
      </c>
      <c r="G33" s="118" t="s">
        <v>130</v>
      </c>
      <c r="H33" s="37"/>
      <c r="I33" s="119" t="str">
        <f>'Visual Summary'!B6</f>
        <v xml:space="preserve">Pro-Poor Potential </v>
      </c>
      <c r="J33" s="119"/>
      <c r="K33" s="119"/>
      <c r="L33" s="120">
        <f>F21</f>
        <v>6.666666666666667</v>
      </c>
      <c r="M33" s="121"/>
      <c r="N33" s="122">
        <v>20</v>
      </c>
      <c r="O33" s="123">
        <v>0.67</v>
      </c>
      <c r="P33" s="122">
        <f t="shared" si="7"/>
        <v>13.4</v>
      </c>
      <c r="Q33" s="37"/>
      <c r="R33" s="37"/>
      <c r="S33" s="37"/>
      <c r="T33" s="37"/>
      <c r="U33" s="37"/>
      <c r="V33" s="37"/>
      <c r="W33" s="37"/>
      <c r="X33" s="37"/>
      <c r="Y33" s="37"/>
      <c r="Z33" s="37"/>
    </row>
    <row r="34" spans="1:26" ht="69.75" customHeight="1" x14ac:dyDescent="0.35">
      <c r="A34" s="37"/>
      <c r="B34" s="37">
        <v>13</v>
      </c>
      <c r="C34" s="58" t="s">
        <v>92</v>
      </c>
      <c r="D34" s="53">
        <v>1</v>
      </c>
      <c r="E34" s="54">
        <v>20</v>
      </c>
      <c r="F34" s="117">
        <f t="shared" si="6"/>
        <v>6.666666666666667</v>
      </c>
      <c r="G34" s="118" t="s">
        <v>131</v>
      </c>
      <c r="H34" s="37"/>
      <c r="I34" s="119" t="str">
        <f>'Visual Summary'!B7</f>
        <v xml:space="preserve">Green Growth Potential </v>
      </c>
      <c r="J34" s="119"/>
      <c r="K34" s="119"/>
      <c r="L34" s="120">
        <f>F29</f>
        <v>4.6666666666666661</v>
      </c>
      <c r="M34" s="121"/>
      <c r="N34" s="122">
        <v>20</v>
      </c>
      <c r="O34" s="123">
        <v>0.47</v>
      </c>
      <c r="P34" s="122">
        <f t="shared" si="7"/>
        <v>9.3999999999999986</v>
      </c>
      <c r="Q34" s="37"/>
      <c r="R34" s="37"/>
      <c r="S34" s="37"/>
      <c r="T34" s="37"/>
      <c r="U34" s="37"/>
      <c r="V34" s="37"/>
      <c r="W34" s="37"/>
      <c r="X34" s="37"/>
      <c r="Y34" s="37"/>
      <c r="Z34" s="37"/>
    </row>
    <row r="35" spans="1:26" ht="88.5" customHeight="1" x14ac:dyDescent="0.35">
      <c r="A35" s="37"/>
      <c r="B35" s="37">
        <v>14</v>
      </c>
      <c r="C35" s="58" t="s">
        <v>94</v>
      </c>
      <c r="D35" s="53">
        <v>1</v>
      </c>
      <c r="E35" s="54">
        <v>20</v>
      </c>
      <c r="F35" s="117">
        <f t="shared" si="6"/>
        <v>6.666666666666667</v>
      </c>
      <c r="G35" s="118" t="s">
        <v>132</v>
      </c>
      <c r="H35" s="37"/>
      <c r="I35" s="119" t="str">
        <f>'Visual Summary'!B8</f>
        <v xml:space="preserve">Systemic Change Potential </v>
      </c>
      <c r="J35" s="119"/>
      <c r="K35" s="119"/>
      <c r="L35" s="120">
        <f>F37</f>
        <v>4.666666666666667</v>
      </c>
      <c r="M35" s="121"/>
      <c r="N35" s="122">
        <v>10</v>
      </c>
      <c r="O35" s="123">
        <v>0.47</v>
      </c>
      <c r="P35" s="122">
        <f t="shared" si="7"/>
        <v>4.6999999999999993</v>
      </c>
      <c r="Q35" s="37"/>
      <c r="R35" s="37"/>
      <c r="S35" s="37"/>
      <c r="T35" s="37"/>
      <c r="U35" s="37"/>
      <c r="V35" s="37"/>
      <c r="W35" s="37"/>
      <c r="X35" s="37"/>
      <c r="Y35" s="37"/>
      <c r="Z35" s="37"/>
    </row>
    <row r="36" spans="1:26" ht="88.5" customHeight="1" x14ac:dyDescent="0.35">
      <c r="A36" s="37"/>
      <c r="B36" s="37">
        <v>15</v>
      </c>
      <c r="C36" s="58" t="s">
        <v>96</v>
      </c>
      <c r="D36" s="53">
        <v>2</v>
      </c>
      <c r="E36" s="54">
        <v>20</v>
      </c>
      <c r="F36" s="117">
        <f t="shared" si="6"/>
        <v>13.333333333333334</v>
      </c>
      <c r="G36" s="118" t="s">
        <v>133</v>
      </c>
      <c r="H36" s="37"/>
      <c r="I36" s="119" t="str">
        <f>'Visual Summary'!B9</f>
        <v>PWD Opportunities</v>
      </c>
      <c r="J36" s="124"/>
      <c r="K36" s="124"/>
      <c r="L36" s="125">
        <f>L21</f>
        <v>6.666666666666667</v>
      </c>
      <c r="M36" s="121"/>
      <c r="N36" s="122">
        <v>5</v>
      </c>
      <c r="O36" s="123">
        <v>0.67</v>
      </c>
      <c r="P36" s="122">
        <f t="shared" si="7"/>
        <v>3.35</v>
      </c>
      <c r="Q36" s="37"/>
      <c r="R36" s="37"/>
      <c r="S36" s="37"/>
      <c r="T36" s="37"/>
      <c r="U36" s="37"/>
      <c r="V36" s="37"/>
      <c r="W36" s="37"/>
      <c r="X36" s="37"/>
      <c r="Y36" s="37"/>
      <c r="Z36" s="37"/>
    </row>
    <row r="37" spans="1:26" ht="63" customHeight="1" x14ac:dyDescent="0.35">
      <c r="A37" s="37"/>
      <c r="B37" s="37"/>
      <c r="C37" s="67" t="s">
        <v>43</v>
      </c>
      <c r="D37" s="68"/>
      <c r="E37" s="126">
        <f>SUM(E32:E36)</f>
        <v>100</v>
      </c>
      <c r="F37" s="127">
        <f>(SUM(F32:F36))/10</f>
        <v>4.666666666666667</v>
      </c>
      <c r="G37" s="128"/>
      <c r="H37" s="37"/>
      <c r="I37" s="119" t="str">
        <f>'Visual Summary'!B10</f>
        <v>WEE Opportunitiies</v>
      </c>
      <c r="J37" s="129"/>
      <c r="K37" s="129"/>
      <c r="L37" s="120">
        <f>L21</f>
        <v>6.666666666666667</v>
      </c>
      <c r="M37" s="121"/>
      <c r="N37" s="122">
        <v>10</v>
      </c>
      <c r="O37" s="123">
        <v>0.67</v>
      </c>
      <c r="P37" s="122">
        <f t="shared" si="7"/>
        <v>6.7</v>
      </c>
      <c r="Q37" s="37"/>
      <c r="R37" s="37"/>
      <c r="S37" s="37"/>
      <c r="T37" s="37"/>
      <c r="U37" s="37"/>
      <c r="V37" s="37"/>
      <c r="W37" s="37"/>
      <c r="X37" s="37"/>
      <c r="Y37" s="37"/>
      <c r="Z37" s="37"/>
    </row>
    <row r="38" spans="1:26" ht="61.5" customHeight="1" x14ac:dyDescent="0.35">
      <c r="A38" s="37"/>
      <c r="B38" s="37"/>
      <c r="C38" s="37"/>
      <c r="D38" s="37"/>
      <c r="E38" s="37"/>
      <c r="F38" s="37"/>
      <c r="G38" s="37"/>
      <c r="H38" s="37"/>
      <c r="I38" s="119" t="str">
        <f>'Visual Summary'!B11</f>
        <v xml:space="preserve">Quick Win Potential </v>
      </c>
      <c r="J38" s="129"/>
      <c r="K38" s="129"/>
      <c r="L38" s="120">
        <f>L29</f>
        <v>5.166666666666667</v>
      </c>
      <c r="M38" s="121"/>
      <c r="N38" s="122">
        <v>10</v>
      </c>
      <c r="O38" s="123">
        <v>0.52</v>
      </c>
      <c r="P38" s="122">
        <f t="shared" si="7"/>
        <v>5.2</v>
      </c>
      <c r="Q38" s="37"/>
      <c r="R38" s="37"/>
      <c r="S38" s="37"/>
      <c r="T38" s="37"/>
      <c r="U38" s="37"/>
      <c r="V38" s="37"/>
      <c r="W38" s="37"/>
      <c r="X38" s="37"/>
      <c r="Y38" s="37"/>
      <c r="Z38" s="37"/>
    </row>
    <row r="39" spans="1:26" ht="15.75" customHeight="1" x14ac:dyDescent="0.25">
      <c r="A39" s="37"/>
      <c r="B39" s="37"/>
      <c r="C39" s="37"/>
      <c r="D39" s="37"/>
      <c r="E39" s="37"/>
      <c r="F39" s="37"/>
      <c r="G39" s="37"/>
      <c r="H39" s="37"/>
      <c r="I39" s="37"/>
      <c r="J39" s="37"/>
      <c r="K39" s="37"/>
      <c r="L39" s="37"/>
      <c r="M39" s="37"/>
      <c r="N39" s="130"/>
      <c r="O39" s="130" t="s">
        <v>43</v>
      </c>
      <c r="P39" s="130">
        <f>SUM(P32:P38)</f>
        <v>53.500000000000007</v>
      </c>
      <c r="Q39" s="37"/>
      <c r="R39" s="37"/>
      <c r="S39" s="37"/>
      <c r="T39" s="37"/>
      <c r="U39" s="37"/>
      <c r="V39" s="37"/>
      <c r="W39" s="37"/>
      <c r="X39" s="37"/>
      <c r="Y39" s="37"/>
      <c r="Z39" s="37"/>
    </row>
    <row r="40" spans="1:26" ht="15.75" customHeight="1" x14ac:dyDescent="0.25">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row>
    <row r="41" spans="1:26" ht="15.75" customHeight="1" x14ac:dyDescent="0.25">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row>
    <row r="42" spans="1:26" ht="15.75" customHeight="1" x14ac:dyDescent="0.25">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ht="15.75" customHeight="1" x14ac:dyDescent="0.25">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row>
    <row r="44" spans="1:26" ht="15.75" customHeight="1" x14ac:dyDescent="0.25">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row>
    <row r="45" spans="1:26" ht="15.75" customHeight="1" x14ac:dyDescent="0.25">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ht="15.75" customHeight="1" x14ac:dyDescent="0.25">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ht="15.75" customHeight="1" x14ac:dyDescent="0.25">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ht="15.75" customHeight="1" x14ac:dyDescent="0.25">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ht="15.75" customHeight="1" x14ac:dyDescent="0.25">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ht="15.75" customHeight="1" x14ac:dyDescent="0.25">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ht="15.75" customHeight="1" x14ac:dyDescent="0.25">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ht="15.75" customHeight="1" x14ac:dyDescent="0.25">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ht="15.75" customHeight="1" x14ac:dyDescent="0.25">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ht="15.75" customHeight="1" x14ac:dyDescent="0.25">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ht="15.75" customHeight="1" x14ac:dyDescent="0.25">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ht="15.75" customHeight="1" x14ac:dyDescent="0.25">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ht="15.75" customHeight="1" x14ac:dyDescent="0.25">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ht="15.75" customHeight="1" x14ac:dyDescent="0.25">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ht="15.75" customHeight="1" x14ac:dyDescent="0.25">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ht="15.75" customHeight="1" x14ac:dyDescent="0.25">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ht="15.75" customHeight="1" x14ac:dyDescent="0.25">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ht="15.75" customHeight="1" x14ac:dyDescent="0.25">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ht="15.75" customHeight="1" x14ac:dyDescent="0.25">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ht="15.75" customHeight="1" x14ac:dyDescent="0.25">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ht="15.75" customHeight="1" x14ac:dyDescent="0.25">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ht="15.75" customHeight="1" x14ac:dyDescent="0.25">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ht="15.75" customHeight="1" x14ac:dyDescent="0.25">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ht="15.75" customHeight="1" x14ac:dyDescent="0.25">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ht="15.75" customHeight="1" x14ac:dyDescent="0.25">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ht="15.75" customHeight="1" x14ac:dyDescent="0.25">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ht="15.75" customHeight="1" x14ac:dyDescent="0.25">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ht="15.75" customHeight="1" x14ac:dyDescent="0.25">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ht="15.75" customHeight="1" x14ac:dyDescent="0.25">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ht="15.75" customHeight="1" x14ac:dyDescent="0.25">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ht="15.75" customHeight="1" x14ac:dyDescent="0.25">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ht="15.75" customHeight="1" x14ac:dyDescent="0.25">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ht="15.75" customHeight="1" x14ac:dyDescent="0.25">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ht="15.75" customHeight="1" x14ac:dyDescent="0.25">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ht="15.75" customHeight="1" x14ac:dyDescent="0.25">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ht="15.75" customHeight="1" x14ac:dyDescent="0.25">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ht="15.75" customHeight="1" x14ac:dyDescent="0.25">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ht="15.75" customHeight="1" x14ac:dyDescent="0.25">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ht="15.75" customHeight="1" x14ac:dyDescent="0.25">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ht="15.75" customHeight="1" x14ac:dyDescent="0.25">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ht="15.75" customHeight="1" x14ac:dyDescent="0.25">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ht="15.75" customHeight="1" x14ac:dyDescent="0.25">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ht="15.75" customHeight="1" x14ac:dyDescent="0.25">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ht="15.75" customHeight="1" x14ac:dyDescent="0.25">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ht="15.75" customHeight="1" x14ac:dyDescent="0.25">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ht="15.75" customHeight="1" x14ac:dyDescent="0.25">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ht="15.75" customHeight="1" x14ac:dyDescent="0.25">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ht="15.75" customHeight="1" x14ac:dyDescent="0.25">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ht="15.75" customHeight="1" x14ac:dyDescent="0.25">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ht="15.75" customHeight="1" x14ac:dyDescent="0.25">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ht="15.75" customHeight="1" x14ac:dyDescent="0.25">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ht="15.75" customHeight="1" x14ac:dyDescent="0.25">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ht="15.75" customHeight="1" x14ac:dyDescent="0.25">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ht="15.75" customHeight="1" x14ac:dyDescent="0.25">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ht="15.75" customHeight="1" x14ac:dyDescent="0.25">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ht="15.75" customHeight="1" x14ac:dyDescent="0.25">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ht="15.75" customHeight="1" x14ac:dyDescent="0.25">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ht="15.75" customHeight="1" x14ac:dyDescent="0.25">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ht="15.75" customHeight="1" x14ac:dyDescent="0.25">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ht="15.75" customHeight="1" x14ac:dyDescent="0.25">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ht="15.75" customHeight="1" x14ac:dyDescent="0.2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ht="15.75" customHeight="1" x14ac:dyDescent="0.25">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ht="15.75" customHeight="1" x14ac:dyDescent="0.25">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ht="15.75" customHeight="1" x14ac:dyDescent="0.25">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ht="15.75" customHeight="1" x14ac:dyDescent="0.25">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ht="15.75" customHeight="1" x14ac:dyDescent="0.25">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ht="15.75" customHeight="1" x14ac:dyDescent="0.25">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ht="15.75" customHeight="1" x14ac:dyDescent="0.25">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ht="15.75" customHeight="1" x14ac:dyDescent="0.25">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ht="15.75" customHeight="1" x14ac:dyDescent="0.25">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ht="15.75" customHeight="1" x14ac:dyDescent="0.2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ht="15.75" customHeight="1" x14ac:dyDescent="0.25">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ht="15.75" customHeight="1" x14ac:dyDescent="0.25">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ht="15.75" customHeight="1" x14ac:dyDescent="0.25">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ht="15.75" customHeight="1" x14ac:dyDescent="0.25">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ht="15.75" customHeight="1" x14ac:dyDescent="0.25">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ht="15.75" customHeight="1" x14ac:dyDescent="0.25">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ht="15.75" customHeight="1" x14ac:dyDescent="0.25">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ht="15.75" customHeight="1" x14ac:dyDescent="0.25">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ht="15.75" customHeight="1" x14ac:dyDescent="0.25">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ht="15.75" customHeight="1" x14ac:dyDescent="0.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ht="15.75" customHeight="1" x14ac:dyDescent="0.25">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ht="15.75" customHeight="1" x14ac:dyDescent="0.25">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ht="15.75" customHeight="1" x14ac:dyDescent="0.25">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ht="15.75" customHeight="1" x14ac:dyDescent="0.25">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ht="15.75" customHeight="1" x14ac:dyDescent="0.25">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ht="15.75" customHeight="1" x14ac:dyDescent="0.25">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ht="15.75" customHeight="1" x14ac:dyDescent="0.25">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ht="15.75" customHeight="1" x14ac:dyDescent="0.25">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ht="15.75" customHeight="1" x14ac:dyDescent="0.25">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ht="15.75" customHeight="1" x14ac:dyDescent="0.2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ht="15.75" customHeight="1" x14ac:dyDescent="0.25">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ht="15.75" customHeight="1" x14ac:dyDescent="0.25">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ht="15.75" customHeight="1" x14ac:dyDescent="0.25">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ht="15.75" customHeight="1" x14ac:dyDescent="0.25">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ht="15.75" customHeight="1" x14ac:dyDescent="0.25">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ht="15.75" customHeight="1" x14ac:dyDescent="0.25">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ht="15.75" customHeight="1" x14ac:dyDescent="0.25">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ht="15.75" customHeight="1" x14ac:dyDescent="0.25">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ht="15.75" customHeight="1" x14ac:dyDescent="0.25">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ht="15.75" customHeight="1" x14ac:dyDescent="0.2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ht="15.75" customHeight="1" x14ac:dyDescent="0.25">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ht="15.75" customHeight="1" x14ac:dyDescent="0.25">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ht="15.75" customHeight="1" x14ac:dyDescent="0.25">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ht="15.75" customHeight="1" x14ac:dyDescent="0.25">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ht="15.75" customHeight="1" x14ac:dyDescent="0.25">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ht="15.75" customHeight="1" x14ac:dyDescent="0.25">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ht="15.75" customHeight="1" x14ac:dyDescent="0.25">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ht="15.75" customHeight="1" x14ac:dyDescent="0.25">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ht="15.75" customHeight="1" x14ac:dyDescent="0.25">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ht="15.75" customHeight="1" x14ac:dyDescent="0.2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ht="15.75" customHeight="1" x14ac:dyDescent="0.25">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ht="15.75" customHeight="1" x14ac:dyDescent="0.25">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ht="15.75" customHeight="1" x14ac:dyDescent="0.25">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ht="15.75" customHeight="1" x14ac:dyDescent="0.25">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ht="15.75" customHeight="1" x14ac:dyDescent="0.25">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ht="15.75" customHeight="1" x14ac:dyDescent="0.25">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ht="15.75" customHeight="1" x14ac:dyDescent="0.25">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ht="15.75" customHeight="1" x14ac:dyDescent="0.25">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ht="15.75" customHeight="1" x14ac:dyDescent="0.25">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ht="15.75" customHeight="1" x14ac:dyDescent="0.2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ht="15.75" customHeight="1" x14ac:dyDescent="0.25">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ht="15.75" customHeight="1" x14ac:dyDescent="0.25">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ht="15.75" customHeight="1" x14ac:dyDescent="0.25">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ht="15.75" customHeight="1" x14ac:dyDescent="0.25">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ht="15.75" customHeight="1" x14ac:dyDescent="0.25">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ht="15.75" customHeight="1" x14ac:dyDescent="0.25">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ht="15.75" customHeight="1" x14ac:dyDescent="0.25">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ht="15.75" customHeight="1" x14ac:dyDescent="0.25">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ht="15.75" customHeight="1" x14ac:dyDescent="0.25">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ht="15.75" customHeight="1" x14ac:dyDescent="0.2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ht="15.75" customHeight="1" x14ac:dyDescent="0.25">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ht="15.75" customHeight="1" x14ac:dyDescent="0.25">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ht="15.75" customHeight="1" x14ac:dyDescent="0.25">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ht="15.75" customHeight="1" x14ac:dyDescent="0.25">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ht="15.75" customHeight="1" x14ac:dyDescent="0.25">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ht="15.75" customHeight="1" x14ac:dyDescent="0.25">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ht="15.75" customHeight="1" x14ac:dyDescent="0.25">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ht="15.75" customHeight="1" x14ac:dyDescent="0.25">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ht="15.75" customHeight="1" x14ac:dyDescent="0.25">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ht="15.75" customHeight="1" x14ac:dyDescent="0.2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ht="15.75" customHeight="1" x14ac:dyDescent="0.25">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ht="15.75" customHeight="1" x14ac:dyDescent="0.25">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ht="15.75" customHeight="1" x14ac:dyDescent="0.25">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ht="15.75" customHeight="1" x14ac:dyDescent="0.25">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ht="15.75" customHeight="1" x14ac:dyDescent="0.25">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ht="15.75" customHeight="1" x14ac:dyDescent="0.25">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ht="15.75" customHeight="1" x14ac:dyDescent="0.25">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ht="15.75" customHeight="1" x14ac:dyDescent="0.25">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ht="15.75" customHeight="1" x14ac:dyDescent="0.25">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ht="15.75" customHeight="1" x14ac:dyDescent="0.2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ht="15.75" customHeight="1" x14ac:dyDescent="0.25">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ht="15.75" customHeight="1" x14ac:dyDescent="0.25">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ht="15.75" customHeight="1" x14ac:dyDescent="0.25">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ht="15.75" customHeight="1" x14ac:dyDescent="0.25">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ht="15.75" customHeight="1" x14ac:dyDescent="0.25">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ht="15.75" customHeight="1" x14ac:dyDescent="0.25">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ht="15.75" customHeight="1" x14ac:dyDescent="0.25">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ht="15.75" customHeight="1" x14ac:dyDescent="0.25">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ht="15.75" customHeight="1" x14ac:dyDescent="0.25">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ht="15.75" customHeight="1" x14ac:dyDescent="0.2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ht="15.75" customHeight="1" x14ac:dyDescent="0.25">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ht="15.75" customHeight="1" x14ac:dyDescent="0.25">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ht="15.75" customHeight="1" x14ac:dyDescent="0.25">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ht="15.75" customHeight="1" x14ac:dyDescent="0.25">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ht="15.75" customHeight="1" x14ac:dyDescent="0.25">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ht="15.75" customHeight="1" x14ac:dyDescent="0.25">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ht="15.75" customHeight="1" x14ac:dyDescent="0.25">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ht="15.75" customHeight="1" x14ac:dyDescent="0.25">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ht="15.75" customHeight="1" x14ac:dyDescent="0.25">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ht="15.75" customHeight="1" x14ac:dyDescent="0.2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ht="15.75" customHeight="1" x14ac:dyDescent="0.25">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ht="15.75" customHeight="1" x14ac:dyDescent="0.25">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ht="15.75" customHeight="1" x14ac:dyDescent="0.25">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ht="15.75" customHeight="1" x14ac:dyDescent="0.25">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ht="15.75" customHeight="1" x14ac:dyDescent="0.25">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ht="15.75" customHeight="1" x14ac:dyDescent="0.25">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ht="15.75" customHeight="1" x14ac:dyDescent="0.25">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ht="15.75" customHeight="1" x14ac:dyDescent="0.25">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ht="15.75" customHeight="1" x14ac:dyDescent="0.25">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ht="15.75" customHeight="1" x14ac:dyDescent="0.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ht="15.75" customHeight="1" x14ac:dyDescent="0.25">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ht="15.75" customHeight="1" x14ac:dyDescent="0.25">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ht="15.75" customHeight="1" x14ac:dyDescent="0.25">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ht="15.75" customHeight="1" x14ac:dyDescent="0.25">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ht="15.75" customHeight="1" x14ac:dyDescent="0.25">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ht="15.75" customHeight="1" x14ac:dyDescent="0.25">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ht="15.75" customHeight="1" x14ac:dyDescent="0.25">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ht="15.75" customHeight="1" x14ac:dyDescent="0.25">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ht="15.75" customHeight="1" x14ac:dyDescent="0.25">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ht="15.75" customHeight="1" x14ac:dyDescent="0.2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ht="15.75" customHeight="1" x14ac:dyDescent="0.25">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ht="15.75" customHeight="1" x14ac:dyDescent="0.25">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ht="15.75" customHeight="1" x14ac:dyDescent="0.25">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ht="15.75" customHeight="1" x14ac:dyDescent="0.25">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ht="15.75" customHeight="1" x14ac:dyDescent="0.25">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ht="15.75" customHeight="1" x14ac:dyDescent="0.25">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ht="15.75" customHeight="1" x14ac:dyDescent="0.25">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ht="15.75" customHeight="1" x14ac:dyDescent="0.25">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ht="15.75" customHeight="1" x14ac:dyDescent="0.25">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ht="15.75" customHeight="1" x14ac:dyDescent="0.2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ht="15.75" customHeight="1" x14ac:dyDescent="0.25">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ht="15.75" customHeight="1" x14ac:dyDescent="0.25">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ht="15.75" customHeight="1" x14ac:dyDescent="0.25">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ht="15.75" customHeight="1" x14ac:dyDescent="0.25">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ht="15.75" customHeight="1" x14ac:dyDescent="0.25">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ht="15.75" customHeight="1" x14ac:dyDescent="0.25">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ht="15.75" customHeight="1" x14ac:dyDescent="0.25">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ht="15.75" customHeight="1" x14ac:dyDescent="0.25">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ht="15.75" customHeight="1" x14ac:dyDescent="0.25">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ht="15.75" customHeight="1" x14ac:dyDescent="0.2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ht="15.75" customHeight="1" x14ac:dyDescent="0.25">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ht="15.75" customHeight="1" x14ac:dyDescent="0.25">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ht="15.75" customHeight="1" x14ac:dyDescent="0.25">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ht="15.75" customHeight="1" x14ac:dyDescent="0.25">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ht="15.75" customHeight="1" x14ac:dyDescent="0.25">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ht="15.75" customHeight="1" x14ac:dyDescent="0.25">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ht="15.75" customHeight="1" x14ac:dyDescent="0.25">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ht="15.75" customHeight="1" x14ac:dyDescent="0.25">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ht="15.75" customHeight="1" x14ac:dyDescent="0.25">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ht="15.75" customHeight="1" x14ac:dyDescent="0.2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ht="15.75" customHeight="1" x14ac:dyDescent="0.25">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ht="15.75" customHeight="1" x14ac:dyDescent="0.25">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ht="15.75" customHeight="1" x14ac:dyDescent="0.25">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ht="15.75" customHeight="1" x14ac:dyDescent="0.25">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ht="15.75" customHeight="1" x14ac:dyDescent="0.25">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ht="15.75" customHeight="1" x14ac:dyDescent="0.25">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ht="15.75" customHeight="1" x14ac:dyDescent="0.25">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ht="15.75" customHeight="1" x14ac:dyDescent="0.25">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ht="15.75" customHeight="1" x14ac:dyDescent="0.25">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ht="15.75" customHeight="1" x14ac:dyDescent="0.2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ht="15.75" customHeight="1" x14ac:dyDescent="0.25">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ht="15.75" customHeight="1" x14ac:dyDescent="0.25">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ht="15.75" customHeight="1" x14ac:dyDescent="0.25">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ht="15.75" customHeight="1" x14ac:dyDescent="0.25">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ht="15.75" customHeight="1" x14ac:dyDescent="0.25">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ht="15.75" customHeight="1" x14ac:dyDescent="0.25">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ht="15.75" customHeight="1" x14ac:dyDescent="0.25">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ht="15.75" customHeight="1" x14ac:dyDescent="0.25">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ht="15.75" customHeight="1" x14ac:dyDescent="0.25">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ht="15.75" customHeight="1" x14ac:dyDescent="0.2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ht="15.75" customHeight="1" x14ac:dyDescent="0.25">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ht="15.75" customHeight="1" x14ac:dyDescent="0.25">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ht="15.75" customHeight="1" x14ac:dyDescent="0.25">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ht="15.75" customHeight="1" x14ac:dyDescent="0.25">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ht="15.75" customHeight="1" x14ac:dyDescent="0.25">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ht="15.75" customHeight="1" x14ac:dyDescent="0.25">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ht="15.75" customHeight="1" x14ac:dyDescent="0.25">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ht="15.75" customHeight="1" x14ac:dyDescent="0.25">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ht="15.75" customHeight="1" x14ac:dyDescent="0.25">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ht="15.75" customHeight="1" x14ac:dyDescent="0.2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ht="15.75" customHeight="1" x14ac:dyDescent="0.25">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ht="15.75" customHeight="1" x14ac:dyDescent="0.25">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ht="15.75" customHeight="1" x14ac:dyDescent="0.25">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ht="15.75" customHeight="1" x14ac:dyDescent="0.25">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ht="15.75" customHeight="1" x14ac:dyDescent="0.25">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ht="15.75" customHeight="1" x14ac:dyDescent="0.25">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ht="15.75" customHeight="1" x14ac:dyDescent="0.25">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ht="15.75" customHeight="1" x14ac:dyDescent="0.25">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ht="15.75" customHeight="1" x14ac:dyDescent="0.25">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ht="15.75" customHeight="1" x14ac:dyDescent="0.2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ht="15.75" customHeight="1" x14ac:dyDescent="0.25">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ht="15.75" customHeight="1" x14ac:dyDescent="0.25">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ht="15.75" customHeight="1" x14ac:dyDescent="0.25">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ht="15.75" customHeight="1" x14ac:dyDescent="0.25">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ht="15.75" customHeight="1" x14ac:dyDescent="0.25">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ht="15.75" customHeight="1" x14ac:dyDescent="0.25">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ht="15.75" customHeight="1" x14ac:dyDescent="0.25">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ht="15.75" customHeight="1" x14ac:dyDescent="0.25">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ht="15.75" customHeight="1" x14ac:dyDescent="0.25">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ht="15.75" customHeight="1" x14ac:dyDescent="0.2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ht="15.75" customHeight="1" x14ac:dyDescent="0.25">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ht="15.75" customHeight="1" x14ac:dyDescent="0.25">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ht="15.75" customHeight="1" x14ac:dyDescent="0.25">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ht="15.75" customHeight="1" x14ac:dyDescent="0.25">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ht="15.75" customHeight="1" x14ac:dyDescent="0.25">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ht="15.75" customHeight="1" x14ac:dyDescent="0.25">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ht="15.75" customHeight="1" x14ac:dyDescent="0.25">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ht="15.75" customHeight="1" x14ac:dyDescent="0.25">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ht="15.75" customHeight="1" x14ac:dyDescent="0.25">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ht="15.75" customHeight="1" x14ac:dyDescent="0.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ht="15.75" customHeight="1" x14ac:dyDescent="0.25">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ht="15.75" customHeight="1" x14ac:dyDescent="0.25">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ht="15.75" customHeight="1" x14ac:dyDescent="0.25">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ht="15.75" customHeight="1" x14ac:dyDescent="0.25">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ht="15.75" customHeight="1" x14ac:dyDescent="0.25">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ht="15.75" customHeight="1" x14ac:dyDescent="0.25">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ht="15.75" customHeight="1" x14ac:dyDescent="0.25">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ht="15.75" customHeight="1" x14ac:dyDescent="0.25">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ht="15.75" customHeight="1" x14ac:dyDescent="0.25">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ht="15.75" customHeight="1" x14ac:dyDescent="0.2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ht="15.75" customHeight="1" x14ac:dyDescent="0.25">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ht="15.75" customHeight="1" x14ac:dyDescent="0.25">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ht="15.75" customHeight="1" x14ac:dyDescent="0.25">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ht="15.75" customHeight="1" x14ac:dyDescent="0.25">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ht="15.75" customHeight="1" x14ac:dyDescent="0.25">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ht="15.75" customHeight="1" x14ac:dyDescent="0.25">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ht="15.75" customHeight="1" x14ac:dyDescent="0.25">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ht="15.75" customHeight="1" x14ac:dyDescent="0.25">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ht="15.75" customHeight="1" x14ac:dyDescent="0.25">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ht="15.75" customHeight="1" x14ac:dyDescent="0.2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ht="15.75" customHeight="1" x14ac:dyDescent="0.25">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ht="15.75" customHeight="1" x14ac:dyDescent="0.25">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ht="15.75" customHeight="1" x14ac:dyDescent="0.25">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ht="15.75" customHeight="1" x14ac:dyDescent="0.25">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ht="15.75" customHeight="1" x14ac:dyDescent="0.25">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ht="15.75" customHeight="1" x14ac:dyDescent="0.25">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ht="15.75" customHeight="1" x14ac:dyDescent="0.25">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ht="15.75" customHeight="1" x14ac:dyDescent="0.25">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ht="15.75" customHeight="1" x14ac:dyDescent="0.25">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ht="15.75" customHeight="1" x14ac:dyDescent="0.2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ht="15.75" customHeight="1" x14ac:dyDescent="0.25">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ht="15.75" customHeight="1" x14ac:dyDescent="0.25">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ht="15.75" customHeight="1" x14ac:dyDescent="0.25">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ht="15.75" customHeight="1" x14ac:dyDescent="0.25">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ht="15.75" customHeight="1" x14ac:dyDescent="0.25">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ht="15.75" customHeight="1" x14ac:dyDescent="0.25">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ht="15.75" customHeight="1" x14ac:dyDescent="0.25">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ht="15.75" customHeight="1" x14ac:dyDescent="0.25">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ht="15.75" customHeight="1" x14ac:dyDescent="0.25">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ht="15.75" customHeight="1" x14ac:dyDescent="0.2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ht="15.75" customHeight="1" x14ac:dyDescent="0.25">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ht="15.75" customHeight="1" x14ac:dyDescent="0.25">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ht="15.75" customHeight="1" x14ac:dyDescent="0.25">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ht="15.75" customHeight="1" x14ac:dyDescent="0.25">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ht="15.75" customHeight="1" x14ac:dyDescent="0.25">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ht="15.75" customHeight="1" x14ac:dyDescent="0.25">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ht="15.75" customHeight="1" x14ac:dyDescent="0.25">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ht="15.75" customHeight="1" x14ac:dyDescent="0.25">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ht="15.75" customHeight="1" x14ac:dyDescent="0.25">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ht="15.75" customHeight="1" x14ac:dyDescent="0.2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ht="15.75" customHeight="1" x14ac:dyDescent="0.25">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ht="15.75" customHeight="1" x14ac:dyDescent="0.25">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ht="15.75" customHeight="1" x14ac:dyDescent="0.25">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ht="15.75" customHeight="1" x14ac:dyDescent="0.25">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ht="15.75" customHeight="1" x14ac:dyDescent="0.25">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ht="15.75" customHeight="1" x14ac:dyDescent="0.25">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ht="15.75" customHeight="1" x14ac:dyDescent="0.25">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ht="15.75" customHeight="1" x14ac:dyDescent="0.25">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ht="15.75" customHeight="1" x14ac:dyDescent="0.25">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ht="15.75" customHeight="1" x14ac:dyDescent="0.2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ht="15.75" customHeight="1" x14ac:dyDescent="0.25">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ht="15.75" customHeight="1" x14ac:dyDescent="0.25">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ht="15.75" customHeight="1" x14ac:dyDescent="0.25">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ht="15.75" customHeight="1" x14ac:dyDescent="0.25">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ht="15.75" customHeight="1" x14ac:dyDescent="0.25">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ht="15.75" customHeight="1" x14ac:dyDescent="0.25">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ht="15.75" customHeight="1" x14ac:dyDescent="0.25">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ht="15.75" customHeight="1" x14ac:dyDescent="0.25">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ht="15.75" customHeight="1" x14ac:dyDescent="0.25">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ht="15.75" customHeight="1" x14ac:dyDescent="0.2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ht="15.75" customHeight="1" x14ac:dyDescent="0.25">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ht="15.75" customHeight="1" x14ac:dyDescent="0.25">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ht="15.75" customHeight="1" x14ac:dyDescent="0.25">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ht="15.75" customHeight="1" x14ac:dyDescent="0.25">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ht="15.75" customHeight="1" x14ac:dyDescent="0.25">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ht="15.75" customHeight="1" x14ac:dyDescent="0.25">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ht="15.75" customHeight="1" x14ac:dyDescent="0.25">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ht="15.75" customHeight="1" x14ac:dyDescent="0.25">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ht="15.75" customHeight="1" x14ac:dyDescent="0.25">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ht="15.75" customHeight="1" x14ac:dyDescent="0.2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ht="15.75" customHeight="1" x14ac:dyDescent="0.25">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ht="15.75" customHeight="1" x14ac:dyDescent="0.25">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ht="15.75" customHeight="1" x14ac:dyDescent="0.25">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ht="15.75" customHeight="1" x14ac:dyDescent="0.25">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ht="15.75" customHeight="1" x14ac:dyDescent="0.25">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ht="15.75" customHeight="1" x14ac:dyDescent="0.25">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ht="15.75" customHeight="1" x14ac:dyDescent="0.25">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ht="15.75" customHeight="1" x14ac:dyDescent="0.25">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ht="15.75" customHeight="1" x14ac:dyDescent="0.25">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ht="15.75" customHeight="1" x14ac:dyDescent="0.2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ht="15.75" customHeight="1" x14ac:dyDescent="0.25">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ht="15.75" customHeight="1" x14ac:dyDescent="0.25">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ht="15.75" customHeight="1" x14ac:dyDescent="0.25">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ht="15.75" customHeight="1" x14ac:dyDescent="0.25">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ht="15.75" customHeight="1" x14ac:dyDescent="0.25">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ht="15.75" customHeight="1" x14ac:dyDescent="0.25">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ht="15.75" customHeight="1" x14ac:dyDescent="0.25">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ht="15.75" customHeight="1" x14ac:dyDescent="0.25">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ht="15.75" customHeight="1" x14ac:dyDescent="0.25">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ht="15.75" customHeight="1" x14ac:dyDescent="0.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ht="15.75" customHeight="1" x14ac:dyDescent="0.25">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ht="15.75" customHeight="1" x14ac:dyDescent="0.25">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ht="15.75" customHeight="1" x14ac:dyDescent="0.25">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ht="15.75" customHeight="1" x14ac:dyDescent="0.25">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ht="15.75" customHeight="1" x14ac:dyDescent="0.25">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ht="15.75" customHeight="1" x14ac:dyDescent="0.25">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ht="15.75" customHeight="1" x14ac:dyDescent="0.25">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ht="15.75" customHeight="1" x14ac:dyDescent="0.25">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ht="15.75" customHeight="1" x14ac:dyDescent="0.25">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ht="15.75" customHeight="1" x14ac:dyDescent="0.2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ht="15.75" customHeight="1" x14ac:dyDescent="0.25">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ht="15.75" customHeight="1" x14ac:dyDescent="0.25">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ht="15.75" customHeight="1" x14ac:dyDescent="0.25">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ht="15.75" customHeight="1" x14ac:dyDescent="0.25">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ht="15.75" customHeight="1" x14ac:dyDescent="0.25">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ht="15.75" customHeight="1" x14ac:dyDescent="0.25">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ht="15.75" customHeight="1" x14ac:dyDescent="0.25">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ht="15.75" customHeight="1" x14ac:dyDescent="0.25">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ht="15.75" customHeight="1" x14ac:dyDescent="0.25">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ht="15.75" customHeight="1" x14ac:dyDescent="0.2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ht="15.75" customHeight="1" x14ac:dyDescent="0.25">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ht="15.75" customHeight="1" x14ac:dyDescent="0.25">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ht="15.75" customHeight="1" x14ac:dyDescent="0.25">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ht="15.75" customHeight="1" x14ac:dyDescent="0.25">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ht="15.75" customHeight="1" x14ac:dyDescent="0.25">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ht="15.75" customHeight="1" x14ac:dyDescent="0.25">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ht="15.75" customHeight="1" x14ac:dyDescent="0.25">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ht="15.75" customHeight="1" x14ac:dyDescent="0.25">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ht="15.75" customHeight="1" x14ac:dyDescent="0.25">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ht="15.75" customHeight="1" x14ac:dyDescent="0.2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ht="15.75" customHeight="1" x14ac:dyDescent="0.25">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ht="15.75" customHeight="1" x14ac:dyDescent="0.25">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ht="15.75" customHeight="1" x14ac:dyDescent="0.25">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ht="15.75" customHeight="1" x14ac:dyDescent="0.25">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ht="15.75" customHeight="1" x14ac:dyDescent="0.25">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ht="15.75" customHeight="1" x14ac:dyDescent="0.25">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ht="15.75" customHeight="1" x14ac:dyDescent="0.25">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ht="15.75" customHeight="1" x14ac:dyDescent="0.25">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ht="15.75" customHeight="1" x14ac:dyDescent="0.25">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ht="15.75" customHeight="1" x14ac:dyDescent="0.2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ht="15.75" customHeight="1" x14ac:dyDescent="0.25">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ht="15.75" customHeight="1" x14ac:dyDescent="0.25">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ht="15.75" customHeight="1" x14ac:dyDescent="0.25">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ht="15.75" customHeight="1" x14ac:dyDescent="0.25">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ht="15.75" customHeight="1" x14ac:dyDescent="0.25">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ht="15.75" customHeight="1" x14ac:dyDescent="0.25">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ht="15.75" customHeight="1" x14ac:dyDescent="0.25">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ht="15.75" customHeight="1" x14ac:dyDescent="0.25">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ht="15.75" customHeight="1" x14ac:dyDescent="0.25">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ht="15.75" customHeight="1" x14ac:dyDescent="0.2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ht="15.75" customHeight="1" x14ac:dyDescent="0.25">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ht="15.75" customHeight="1" x14ac:dyDescent="0.25">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ht="15.75" customHeight="1" x14ac:dyDescent="0.25">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ht="15.75" customHeight="1" x14ac:dyDescent="0.25">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ht="15.75" customHeight="1" x14ac:dyDescent="0.25">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ht="15.75" customHeight="1" x14ac:dyDescent="0.25">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ht="15.75" customHeight="1" x14ac:dyDescent="0.25">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ht="15.75" customHeight="1" x14ac:dyDescent="0.25">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ht="15.75" customHeight="1" x14ac:dyDescent="0.25">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ht="15.75" customHeight="1" x14ac:dyDescent="0.2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ht="15.75" customHeight="1" x14ac:dyDescent="0.25">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ht="15.75" customHeight="1" x14ac:dyDescent="0.25">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ht="15.75" customHeight="1" x14ac:dyDescent="0.25">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ht="15.75" customHeight="1" x14ac:dyDescent="0.25">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ht="15.75" customHeight="1" x14ac:dyDescent="0.25">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ht="15.75" customHeight="1" x14ac:dyDescent="0.25">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ht="15.75" customHeight="1" x14ac:dyDescent="0.25">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ht="15.75" customHeight="1" x14ac:dyDescent="0.25">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ht="15.75" customHeight="1" x14ac:dyDescent="0.25">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ht="15.75" customHeight="1" x14ac:dyDescent="0.2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ht="15.75" customHeight="1" x14ac:dyDescent="0.25">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ht="15.75" customHeight="1" x14ac:dyDescent="0.25">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ht="15.75" customHeight="1" x14ac:dyDescent="0.25">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ht="15.75" customHeight="1" x14ac:dyDescent="0.25">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ht="15.75" customHeight="1" x14ac:dyDescent="0.25">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ht="15.75" customHeight="1" x14ac:dyDescent="0.25">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ht="15.75" customHeight="1" x14ac:dyDescent="0.25">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ht="15.75" customHeight="1" x14ac:dyDescent="0.25">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ht="15.75" customHeight="1" x14ac:dyDescent="0.25">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ht="15.75" customHeight="1" x14ac:dyDescent="0.2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ht="15.75" customHeight="1" x14ac:dyDescent="0.25">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ht="15.75" customHeight="1" x14ac:dyDescent="0.25">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ht="15.75" customHeight="1" x14ac:dyDescent="0.25">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ht="15.75" customHeight="1" x14ac:dyDescent="0.25">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ht="15.75" customHeight="1" x14ac:dyDescent="0.25">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ht="15.75" customHeight="1" x14ac:dyDescent="0.25">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ht="15.75" customHeight="1" x14ac:dyDescent="0.25">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ht="15.75" customHeight="1" x14ac:dyDescent="0.25">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ht="15.75" customHeight="1" x14ac:dyDescent="0.25">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ht="15.75" customHeight="1" x14ac:dyDescent="0.2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ht="15.75" customHeight="1" x14ac:dyDescent="0.25">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ht="15.75" customHeight="1" x14ac:dyDescent="0.25">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ht="15.75" customHeight="1" x14ac:dyDescent="0.25">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ht="15.75" customHeight="1" x14ac:dyDescent="0.25">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ht="15.75" customHeight="1" x14ac:dyDescent="0.25">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ht="15.75" customHeight="1" x14ac:dyDescent="0.25">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ht="15.75" customHeight="1" x14ac:dyDescent="0.25">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ht="15.75" customHeight="1" x14ac:dyDescent="0.25">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ht="15.75" customHeight="1" x14ac:dyDescent="0.25">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ht="15.75" customHeight="1" x14ac:dyDescent="0.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ht="15.75" customHeight="1" x14ac:dyDescent="0.25">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ht="15.75" customHeight="1" x14ac:dyDescent="0.25">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ht="15.75" customHeight="1" x14ac:dyDescent="0.25">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ht="15.75" customHeight="1" x14ac:dyDescent="0.25">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ht="15.75" customHeight="1" x14ac:dyDescent="0.25">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ht="15.75" customHeight="1" x14ac:dyDescent="0.25">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ht="15.75" customHeight="1" x14ac:dyDescent="0.25">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ht="15.75" customHeight="1" x14ac:dyDescent="0.25">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ht="15.75" customHeight="1" x14ac:dyDescent="0.25">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ht="15.75" customHeight="1" x14ac:dyDescent="0.2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ht="15.75" customHeight="1" x14ac:dyDescent="0.25">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ht="15.75" customHeight="1" x14ac:dyDescent="0.25">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ht="15.75" customHeight="1" x14ac:dyDescent="0.25">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ht="15.75" customHeight="1" x14ac:dyDescent="0.25">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ht="15.75" customHeight="1" x14ac:dyDescent="0.25">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ht="15.75" customHeight="1" x14ac:dyDescent="0.25">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ht="15.75" customHeight="1" x14ac:dyDescent="0.25">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ht="15.75" customHeight="1" x14ac:dyDescent="0.25">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ht="15.75" customHeight="1" x14ac:dyDescent="0.25">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ht="15.75" customHeight="1" x14ac:dyDescent="0.2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ht="15.75" customHeight="1" x14ac:dyDescent="0.25">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ht="15.75" customHeight="1" x14ac:dyDescent="0.25">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ht="15.75" customHeight="1" x14ac:dyDescent="0.25">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ht="15.75" customHeight="1" x14ac:dyDescent="0.25">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ht="15.75" customHeight="1" x14ac:dyDescent="0.25">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ht="15.75" customHeight="1" x14ac:dyDescent="0.25">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ht="15.75" customHeight="1" x14ac:dyDescent="0.25">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ht="15.75" customHeight="1" x14ac:dyDescent="0.25">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ht="15.75" customHeight="1" x14ac:dyDescent="0.25">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ht="15.75" customHeight="1" x14ac:dyDescent="0.2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ht="15.75" customHeight="1" x14ac:dyDescent="0.25">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ht="15.75" customHeight="1" x14ac:dyDescent="0.25">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ht="15.75" customHeight="1" x14ac:dyDescent="0.25">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ht="15.75" customHeight="1" x14ac:dyDescent="0.25">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ht="15.75" customHeight="1" x14ac:dyDescent="0.25">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ht="15.75" customHeight="1" x14ac:dyDescent="0.25">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ht="15.75" customHeight="1" x14ac:dyDescent="0.25">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ht="15.75" customHeight="1" x14ac:dyDescent="0.25">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ht="15.75" customHeight="1" x14ac:dyDescent="0.25">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ht="15.75" customHeight="1" x14ac:dyDescent="0.2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ht="15.75" customHeight="1" x14ac:dyDescent="0.25">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ht="15.75" customHeight="1" x14ac:dyDescent="0.25">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ht="15.75" customHeight="1" x14ac:dyDescent="0.25">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ht="15.75" customHeight="1" x14ac:dyDescent="0.25">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ht="15.75" customHeight="1" x14ac:dyDescent="0.25">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ht="15.75" customHeight="1" x14ac:dyDescent="0.25">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ht="15.75" customHeight="1" x14ac:dyDescent="0.25">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ht="15.75" customHeight="1" x14ac:dyDescent="0.25">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ht="15.75" customHeight="1" x14ac:dyDescent="0.25">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ht="15.75" customHeight="1" x14ac:dyDescent="0.2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ht="15.75" customHeight="1" x14ac:dyDescent="0.25">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ht="15.75" customHeight="1" x14ac:dyDescent="0.25">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ht="15.75" customHeight="1" x14ac:dyDescent="0.25">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ht="15.75" customHeight="1" x14ac:dyDescent="0.25">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ht="15.75" customHeight="1" x14ac:dyDescent="0.25">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ht="15.75" customHeight="1" x14ac:dyDescent="0.25">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ht="15.75" customHeight="1" x14ac:dyDescent="0.25">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ht="15.75" customHeight="1" x14ac:dyDescent="0.25">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ht="15.75" customHeight="1" x14ac:dyDescent="0.25">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ht="15.75" customHeight="1" x14ac:dyDescent="0.2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ht="15.75" customHeight="1" x14ac:dyDescent="0.25">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ht="15.75" customHeight="1" x14ac:dyDescent="0.25">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ht="15.75" customHeight="1" x14ac:dyDescent="0.25">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ht="15.75" customHeight="1" x14ac:dyDescent="0.25">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ht="15.75" customHeight="1" x14ac:dyDescent="0.25">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ht="15.75" customHeight="1" x14ac:dyDescent="0.25">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ht="15.75" customHeight="1" x14ac:dyDescent="0.25">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ht="15.75" customHeight="1" x14ac:dyDescent="0.25">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ht="15.75" customHeight="1" x14ac:dyDescent="0.25">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ht="15.75" customHeight="1" x14ac:dyDescent="0.2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ht="15.75" customHeight="1" x14ac:dyDescent="0.25">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ht="15.75" customHeight="1" x14ac:dyDescent="0.25">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ht="15.75" customHeight="1" x14ac:dyDescent="0.25">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ht="15.75" customHeight="1" x14ac:dyDescent="0.25">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ht="15.75" customHeight="1" x14ac:dyDescent="0.25">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ht="15.75" customHeight="1" x14ac:dyDescent="0.25">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ht="15.75" customHeight="1" x14ac:dyDescent="0.25">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ht="15.75" customHeight="1" x14ac:dyDescent="0.25">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ht="15.75" customHeight="1" x14ac:dyDescent="0.25">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ht="15.75" customHeight="1" x14ac:dyDescent="0.2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ht="15.75" customHeight="1" x14ac:dyDescent="0.25">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ht="15.75" customHeight="1" x14ac:dyDescent="0.25">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ht="15.75" customHeight="1" x14ac:dyDescent="0.25">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ht="15.75" customHeight="1" x14ac:dyDescent="0.25">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ht="15.75" customHeight="1" x14ac:dyDescent="0.25">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ht="15.75" customHeight="1" x14ac:dyDescent="0.25">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ht="15.75" customHeight="1" x14ac:dyDescent="0.25">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ht="15.75" customHeight="1" x14ac:dyDescent="0.25">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ht="15.75" customHeight="1" x14ac:dyDescent="0.25">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ht="15.75" customHeight="1" x14ac:dyDescent="0.2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ht="15.75" customHeight="1" x14ac:dyDescent="0.25">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ht="15.75" customHeight="1" x14ac:dyDescent="0.25">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ht="15.75" customHeight="1" x14ac:dyDescent="0.25">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ht="15.75" customHeight="1" x14ac:dyDescent="0.25">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ht="15.75" customHeight="1" x14ac:dyDescent="0.25">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ht="15.75" customHeight="1" x14ac:dyDescent="0.25">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ht="15.75" customHeight="1" x14ac:dyDescent="0.25">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ht="15.75" customHeight="1" x14ac:dyDescent="0.25">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ht="15.75" customHeight="1" x14ac:dyDescent="0.25">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ht="15.75" customHeight="1" x14ac:dyDescent="0.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ht="15.75" customHeight="1" x14ac:dyDescent="0.25">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ht="15.75" customHeight="1" x14ac:dyDescent="0.25">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ht="15.75" customHeight="1" x14ac:dyDescent="0.25">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ht="15.75" customHeight="1" x14ac:dyDescent="0.25">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ht="15.75" customHeight="1" x14ac:dyDescent="0.25">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ht="15.75" customHeight="1" x14ac:dyDescent="0.25">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ht="15.75" customHeight="1" x14ac:dyDescent="0.25">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ht="15.75" customHeight="1" x14ac:dyDescent="0.25">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ht="15.75" customHeight="1" x14ac:dyDescent="0.25">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ht="15.75" customHeight="1" x14ac:dyDescent="0.2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ht="15.75" customHeight="1" x14ac:dyDescent="0.25">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ht="15.75" customHeight="1" x14ac:dyDescent="0.25">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ht="15.75" customHeight="1" x14ac:dyDescent="0.25">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ht="15.75" customHeight="1" x14ac:dyDescent="0.25">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ht="15.75" customHeight="1" x14ac:dyDescent="0.25">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ht="15.75" customHeight="1" x14ac:dyDescent="0.25">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ht="15.75" customHeight="1" x14ac:dyDescent="0.25">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ht="15.75" customHeight="1" x14ac:dyDescent="0.25">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ht="15.75" customHeight="1" x14ac:dyDescent="0.25">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ht="15.75" customHeight="1" x14ac:dyDescent="0.2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ht="15.75" customHeight="1" x14ac:dyDescent="0.25">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ht="15.75" customHeight="1" x14ac:dyDescent="0.25">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ht="15.75" customHeight="1" x14ac:dyDescent="0.25">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ht="15.75" customHeight="1" x14ac:dyDescent="0.25">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ht="15.75" customHeight="1" x14ac:dyDescent="0.25">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ht="15.75" customHeight="1" x14ac:dyDescent="0.25">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ht="15.75" customHeight="1" x14ac:dyDescent="0.25">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ht="15.75" customHeight="1" x14ac:dyDescent="0.25">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ht="15.75" customHeight="1" x14ac:dyDescent="0.25">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ht="15.75" customHeight="1" x14ac:dyDescent="0.2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ht="15.75" customHeight="1" x14ac:dyDescent="0.25">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ht="15.75" customHeight="1" x14ac:dyDescent="0.25">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ht="15.75" customHeight="1" x14ac:dyDescent="0.25">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ht="15.75" customHeight="1" x14ac:dyDescent="0.25">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ht="15.75" customHeight="1" x14ac:dyDescent="0.25">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ht="15.75" customHeight="1" x14ac:dyDescent="0.25">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ht="15.75" customHeight="1" x14ac:dyDescent="0.25">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ht="15.75" customHeight="1" x14ac:dyDescent="0.25">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ht="15.75" customHeight="1" x14ac:dyDescent="0.25">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ht="15.75" customHeight="1" x14ac:dyDescent="0.2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ht="15.75" customHeight="1" x14ac:dyDescent="0.25">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ht="15.75" customHeight="1" x14ac:dyDescent="0.25">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ht="15.75" customHeight="1" x14ac:dyDescent="0.25">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ht="15.75" customHeight="1" x14ac:dyDescent="0.25">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ht="15.75" customHeight="1" x14ac:dyDescent="0.25">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ht="15.75" customHeight="1" x14ac:dyDescent="0.25">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ht="15.75" customHeight="1" x14ac:dyDescent="0.25">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ht="15.75" customHeight="1" x14ac:dyDescent="0.25">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ht="15.75" customHeight="1" x14ac:dyDescent="0.25">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ht="15.75" customHeight="1" x14ac:dyDescent="0.2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ht="15.75" customHeight="1" x14ac:dyDescent="0.25">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ht="15.75" customHeight="1" x14ac:dyDescent="0.25">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ht="15.75" customHeight="1" x14ac:dyDescent="0.25">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ht="15.75" customHeight="1" x14ac:dyDescent="0.25">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ht="15.75" customHeight="1" x14ac:dyDescent="0.25">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ht="15.75" customHeight="1" x14ac:dyDescent="0.25">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ht="15.75" customHeight="1" x14ac:dyDescent="0.25">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ht="15.75" customHeight="1" x14ac:dyDescent="0.25">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ht="15.75" customHeight="1" x14ac:dyDescent="0.25">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ht="15.75" customHeight="1" x14ac:dyDescent="0.2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ht="15.75" customHeight="1" x14ac:dyDescent="0.25">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ht="15.75" customHeight="1" x14ac:dyDescent="0.25">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ht="15.75" customHeight="1" x14ac:dyDescent="0.25">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ht="15.75" customHeight="1" x14ac:dyDescent="0.25">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ht="15.75" customHeight="1" x14ac:dyDescent="0.25">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ht="15.75" customHeight="1" x14ac:dyDescent="0.25">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ht="15.75" customHeight="1" x14ac:dyDescent="0.25">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ht="15.75" customHeight="1" x14ac:dyDescent="0.25">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ht="15.75" customHeight="1" x14ac:dyDescent="0.25">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ht="15.75" customHeight="1" x14ac:dyDescent="0.2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ht="15.75" customHeight="1" x14ac:dyDescent="0.25">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ht="15.75" customHeight="1" x14ac:dyDescent="0.25">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ht="15.75" customHeight="1" x14ac:dyDescent="0.25">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ht="15.75" customHeight="1" x14ac:dyDescent="0.25">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ht="15.75" customHeight="1" x14ac:dyDescent="0.25">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ht="15.75" customHeight="1" x14ac:dyDescent="0.25">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ht="15.75" customHeight="1" x14ac:dyDescent="0.25">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ht="15.75" customHeight="1" x14ac:dyDescent="0.25">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ht="15.75" customHeight="1" x14ac:dyDescent="0.25">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ht="15.75" customHeight="1" x14ac:dyDescent="0.2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ht="15.75" customHeight="1" x14ac:dyDescent="0.25">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ht="15.75" customHeight="1" x14ac:dyDescent="0.25">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ht="15.75" customHeight="1" x14ac:dyDescent="0.25">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ht="15.75" customHeight="1" x14ac:dyDescent="0.25">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ht="15.75" customHeight="1" x14ac:dyDescent="0.25">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ht="15.75" customHeight="1" x14ac:dyDescent="0.25">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ht="15.75" customHeight="1" x14ac:dyDescent="0.25">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ht="15.75" customHeight="1" x14ac:dyDescent="0.25">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ht="15.75" customHeight="1" x14ac:dyDescent="0.25">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ht="15.75" customHeight="1" x14ac:dyDescent="0.2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ht="15.75" customHeight="1" x14ac:dyDescent="0.25">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ht="15.75" customHeight="1" x14ac:dyDescent="0.25">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ht="15.75" customHeight="1" x14ac:dyDescent="0.25">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ht="15.75" customHeight="1" x14ac:dyDescent="0.25">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ht="15.75" customHeight="1" x14ac:dyDescent="0.25">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ht="15.75" customHeight="1" x14ac:dyDescent="0.25">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ht="15.75" customHeight="1" x14ac:dyDescent="0.25">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ht="15.75" customHeight="1" x14ac:dyDescent="0.25">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ht="15.75" customHeight="1" x14ac:dyDescent="0.25">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ht="15.75" customHeight="1" x14ac:dyDescent="0.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ht="15.75" customHeight="1" x14ac:dyDescent="0.25">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ht="15.75" customHeight="1" x14ac:dyDescent="0.25">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ht="15.75" customHeight="1" x14ac:dyDescent="0.25">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ht="15.75" customHeight="1" x14ac:dyDescent="0.25">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ht="15.75" customHeight="1" x14ac:dyDescent="0.25">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ht="15.75" customHeight="1" x14ac:dyDescent="0.25">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ht="15.75" customHeight="1" x14ac:dyDescent="0.25">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ht="15.75" customHeight="1" x14ac:dyDescent="0.25">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ht="15.75" customHeight="1" x14ac:dyDescent="0.25">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ht="15.75" customHeight="1" x14ac:dyDescent="0.2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ht="15.75" customHeight="1" x14ac:dyDescent="0.25">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ht="15.75" customHeight="1" x14ac:dyDescent="0.25">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ht="15.75" customHeight="1" x14ac:dyDescent="0.25">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ht="15.75" customHeight="1" x14ac:dyDescent="0.25">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ht="15.75" customHeight="1" x14ac:dyDescent="0.25">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ht="15.75" customHeight="1" x14ac:dyDescent="0.25">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ht="15.75" customHeight="1" x14ac:dyDescent="0.25">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ht="15.75" customHeight="1" x14ac:dyDescent="0.25">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ht="15.75" customHeight="1" x14ac:dyDescent="0.25">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ht="15.75" customHeight="1" x14ac:dyDescent="0.2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ht="15.75" customHeight="1" x14ac:dyDescent="0.25">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ht="15.75" customHeight="1" x14ac:dyDescent="0.25">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ht="15.75" customHeight="1" x14ac:dyDescent="0.25">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ht="15.75" customHeight="1" x14ac:dyDescent="0.25">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ht="15.75" customHeight="1" x14ac:dyDescent="0.25">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ht="15.75" customHeight="1" x14ac:dyDescent="0.25">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ht="15.75" customHeight="1" x14ac:dyDescent="0.25">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ht="15.75" customHeight="1" x14ac:dyDescent="0.25">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ht="15.75" customHeight="1" x14ac:dyDescent="0.25">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ht="15.75" customHeight="1" x14ac:dyDescent="0.2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ht="15.75" customHeight="1" x14ac:dyDescent="0.25">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ht="15.75" customHeight="1" x14ac:dyDescent="0.25">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ht="15.75" customHeight="1" x14ac:dyDescent="0.25">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ht="15.75" customHeight="1" x14ac:dyDescent="0.25">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ht="15.75" customHeight="1" x14ac:dyDescent="0.25">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ht="15.75" customHeight="1" x14ac:dyDescent="0.25">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ht="15.75" customHeight="1" x14ac:dyDescent="0.25">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ht="15.75" customHeight="1" x14ac:dyDescent="0.25">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ht="15.75" customHeight="1" x14ac:dyDescent="0.25">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ht="15.75" customHeight="1" x14ac:dyDescent="0.2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ht="15.75" customHeight="1" x14ac:dyDescent="0.25">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ht="15.75" customHeight="1" x14ac:dyDescent="0.25">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ht="15.75" customHeight="1" x14ac:dyDescent="0.25">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ht="15.75" customHeight="1" x14ac:dyDescent="0.25">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ht="15.75" customHeight="1" x14ac:dyDescent="0.25">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ht="15.75" customHeight="1" x14ac:dyDescent="0.25">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ht="15.75" customHeight="1" x14ac:dyDescent="0.25">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ht="15.75" customHeight="1" x14ac:dyDescent="0.25">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ht="15.75" customHeight="1" x14ac:dyDescent="0.25">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ht="15.75" customHeight="1" x14ac:dyDescent="0.2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ht="15.75" customHeight="1" x14ac:dyDescent="0.25">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ht="15.75" customHeight="1" x14ac:dyDescent="0.25">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ht="15.75" customHeight="1" x14ac:dyDescent="0.25">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ht="15.75" customHeight="1" x14ac:dyDescent="0.25">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ht="15.75" customHeight="1" x14ac:dyDescent="0.25">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ht="15.75" customHeight="1" x14ac:dyDescent="0.25">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ht="15.75" customHeight="1" x14ac:dyDescent="0.25">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ht="15.75" customHeight="1" x14ac:dyDescent="0.25">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ht="15.75" customHeight="1" x14ac:dyDescent="0.25">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ht="15.75" customHeight="1" x14ac:dyDescent="0.2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ht="15.75" customHeight="1" x14ac:dyDescent="0.25">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ht="15.75" customHeight="1" x14ac:dyDescent="0.25">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ht="15.75" customHeight="1" x14ac:dyDescent="0.25">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ht="15.75" customHeight="1" x14ac:dyDescent="0.25">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ht="15.75" customHeight="1" x14ac:dyDescent="0.25">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ht="15.75" customHeight="1" x14ac:dyDescent="0.25">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ht="15.75" customHeight="1" x14ac:dyDescent="0.25">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ht="15.75" customHeight="1" x14ac:dyDescent="0.25">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ht="15.75" customHeight="1" x14ac:dyDescent="0.25">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ht="15.75" customHeight="1" x14ac:dyDescent="0.2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ht="15.75" customHeight="1" x14ac:dyDescent="0.25">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ht="15.75" customHeight="1" x14ac:dyDescent="0.25">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ht="15.75" customHeight="1" x14ac:dyDescent="0.25">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ht="15.75" customHeight="1" x14ac:dyDescent="0.25">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ht="15.75" customHeight="1" x14ac:dyDescent="0.25">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ht="15.75" customHeight="1" x14ac:dyDescent="0.25">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ht="15.75" customHeight="1" x14ac:dyDescent="0.25">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ht="15.75" customHeight="1" x14ac:dyDescent="0.25">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ht="15.75" customHeight="1" x14ac:dyDescent="0.25">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ht="15.75" customHeight="1" x14ac:dyDescent="0.2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ht="15.75" customHeight="1" x14ac:dyDescent="0.25">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ht="15.75" customHeight="1" x14ac:dyDescent="0.25">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ht="15.75" customHeight="1" x14ac:dyDescent="0.25">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ht="15.75" customHeight="1" x14ac:dyDescent="0.25">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ht="15.75" customHeight="1" x14ac:dyDescent="0.25">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ht="15.75" customHeight="1" x14ac:dyDescent="0.25">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ht="15.75" customHeight="1" x14ac:dyDescent="0.25">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ht="15.75" customHeight="1" x14ac:dyDescent="0.25">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ht="15.75" customHeight="1" x14ac:dyDescent="0.25">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ht="15.75" customHeight="1" x14ac:dyDescent="0.2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ht="15.75" customHeight="1" x14ac:dyDescent="0.25">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ht="15.75" customHeight="1" x14ac:dyDescent="0.25">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ht="15.75" customHeight="1" x14ac:dyDescent="0.25">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ht="15.75" customHeight="1" x14ac:dyDescent="0.25">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ht="15.75" customHeight="1" x14ac:dyDescent="0.25">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ht="15.75" customHeight="1" x14ac:dyDescent="0.25">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ht="15.75" customHeight="1" x14ac:dyDescent="0.25">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ht="15.75" customHeight="1" x14ac:dyDescent="0.25">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ht="15.75" customHeight="1" x14ac:dyDescent="0.25">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ht="15.75" customHeight="1" x14ac:dyDescent="0.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ht="15.75" customHeight="1" x14ac:dyDescent="0.25">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ht="15.75" customHeight="1" x14ac:dyDescent="0.25">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ht="15.75" customHeight="1" x14ac:dyDescent="0.25">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ht="15.75" customHeight="1" x14ac:dyDescent="0.25">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ht="15.75" customHeight="1" x14ac:dyDescent="0.25">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ht="15.75" customHeight="1" x14ac:dyDescent="0.25">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ht="15.75" customHeight="1" x14ac:dyDescent="0.25">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ht="15.75" customHeight="1" x14ac:dyDescent="0.25">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ht="15.75" customHeight="1" x14ac:dyDescent="0.25">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ht="15.75" customHeight="1" x14ac:dyDescent="0.2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ht="15.75" customHeight="1" x14ac:dyDescent="0.25">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ht="15.75" customHeight="1" x14ac:dyDescent="0.25">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ht="15.75" customHeight="1" x14ac:dyDescent="0.25">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ht="15.75" customHeight="1" x14ac:dyDescent="0.25">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ht="15.75" customHeight="1" x14ac:dyDescent="0.25">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ht="15.75" customHeight="1" x14ac:dyDescent="0.25">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ht="15.75" customHeight="1" x14ac:dyDescent="0.25">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ht="15.75" customHeight="1" x14ac:dyDescent="0.25">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ht="15.75" customHeight="1" x14ac:dyDescent="0.25">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ht="15.75" customHeight="1" x14ac:dyDescent="0.2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ht="15.75" customHeight="1" x14ac:dyDescent="0.25">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ht="15.75" customHeight="1" x14ac:dyDescent="0.25">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ht="15.75" customHeight="1" x14ac:dyDescent="0.25">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ht="15.75" customHeight="1" x14ac:dyDescent="0.25">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ht="15.75" customHeight="1" x14ac:dyDescent="0.25">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ht="15.75" customHeight="1" x14ac:dyDescent="0.25">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ht="15.75" customHeight="1" x14ac:dyDescent="0.25">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ht="15.75" customHeight="1" x14ac:dyDescent="0.25">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ht="15.75" customHeight="1" x14ac:dyDescent="0.25">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ht="15.75" customHeight="1" x14ac:dyDescent="0.2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ht="15.75" customHeight="1" x14ac:dyDescent="0.25">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ht="15.75" customHeight="1" x14ac:dyDescent="0.25">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ht="15.75" customHeight="1" x14ac:dyDescent="0.25">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ht="15.75" customHeight="1" x14ac:dyDescent="0.25">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ht="15.75" customHeight="1" x14ac:dyDescent="0.25">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ht="15.75" customHeight="1" x14ac:dyDescent="0.25">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ht="15.75" customHeight="1" x14ac:dyDescent="0.25">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ht="15.75" customHeight="1" x14ac:dyDescent="0.25">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ht="15.75" customHeight="1" x14ac:dyDescent="0.25">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ht="15.75" customHeight="1" x14ac:dyDescent="0.2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ht="15.75" customHeight="1" x14ac:dyDescent="0.25">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ht="15.75" customHeight="1" x14ac:dyDescent="0.25">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ht="15.75" customHeight="1" x14ac:dyDescent="0.25">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ht="15.75" customHeight="1" x14ac:dyDescent="0.25">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ht="15.75" customHeight="1" x14ac:dyDescent="0.25">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ht="15.75" customHeight="1" x14ac:dyDescent="0.25">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ht="15.75" customHeight="1" x14ac:dyDescent="0.25">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ht="15.75" customHeight="1" x14ac:dyDescent="0.25">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ht="15.75" customHeight="1" x14ac:dyDescent="0.25">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ht="15.75" customHeight="1" x14ac:dyDescent="0.2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ht="15.75" customHeight="1" x14ac:dyDescent="0.25">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ht="15.75" customHeight="1" x14ac:dyDescent="0.25">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ht="15.75" customHeight="1" x14ac:dyDescent="0.25">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ht="15.75" customHeight="1" x14ac:dyDescent="0.25">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ht="15.75" customHeight="1" x14ac:dyDescent="0.25">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ht="15.75" customHeight="1" x14ac:dyDescent="0.25">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ht="15.75" customHeight="1" x14ac:dyDescent="0.25">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ht="15.75" customHeight="1" x14ac:dyDescent="0.25">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ht="15.75" customHeight="1" x14ac:dyDescent="0.25">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ht="15.75" customHeight="1" x14ac:dyDescent="0.2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ht="15.75" customHeight="1" x14ac:dyDescent="0.25">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ht="15.75" customHeight="1" x14ac:dyDescent="0.25">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ht="15.75" customHeight="1" x14ac:dyDescent="0.25">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ht="15.75" customHeight="1" x14ac:dyDescent="0.25">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ht="15.75" customHeight="1" x14ac:dyDescent="0.25">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ht="15.75" customHeight="1" x14ac:dyDescent="0.25">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ht="15.75" customHeight="1" x14ac:dyDescent="0.25">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ht="15.75" customHeight="1" x14ac:dyDescent="0.25">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ht="15.75" customHeight="1" x14ac:dyDescent="0.25">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ht="15.75" customHeight="1" x14ac:dyDescent="0.2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ht="15.75" customHeight="1" x14ac:dyDescent="0.25">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ht="15.75" customHeight="1" x14ac:dyDescent="0.25">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ht="15.75" customHeight="1" x14ac:dyDescent="0.25">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ht="15.75" customHeight="1" x14ac:dyDescent="0.25">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ht="15.75" customHeight="1" x14ac:dyDescent="0.25">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ht="15.75" customHeight="1" x14ac:dyDescent="0.25">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ht="15.75" customHeight="1" x14ac:dyDescent="0.25">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ht="15.75" customHeight="1" x14ac:dyDescent="0.25">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ht="15.75" customHeight="1" x14ac:dyDescent="0.25">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ht="15.75" customHeight="1" x14ac:dyDescent="0.2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ht="15.75" customHeight="1" x14ac:dyDescent="0.25">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ht="15.75" customHeight="1" x14ac:dyDescent="0.25">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ht="15.75" customHeight="1" x14ac:dyDescent="0.25">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ht="15.75" customHeight="1" x14ac:dyDescent="0.25">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ht="15.75" customHeight="1" x14ac:dyDescent="0.25">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ht="15.75" customHeight="1" x14ac:dyDescent="0.25">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ht="15.75" customHeight="1" x14ac:dyDescent="0.25">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ht="15.75" customHeight="1" x14ac:dyDescent="0.25">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ht="15.75" customHeight="1" x14ac:dyDescent="0.25">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ht="15.75" customHeight="1" x14ac:dyDescent="0.2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ht="15.75" customHeight="1" x14ac:dyDescent="0.25">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ht="15.75" customHeight="1" x14ac:dyDescent="0.25">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ht="15.75" customHeight="1" x14ac:dyDescent="0.25">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ht="15.75" customHeight="1" x14ac:dyDescent="0.25">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ht="15.75" customHeight="1" x14ac:dyDescent="0.25">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ht="15.75" customHeight="1" x14ac:dyDescent="0.25">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ht="15.75" customHeight="1" x14ac:dyDescent="0.25">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ht="15.75" customHeight="1" x14ac:dyDescent="0.25">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ht="15.75" customHeight="1" x14ac:dyDescent="0.25">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ht="15.75" customHeight="1" x14ac:dyDescent="0.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ht="15.75" customHeight="1" x14ac:dyDescent="0.25">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ht="15.75" customHeight="1" x14ac:dyDescent="0.25">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ht="15.75" customHeight="1" x14ac:dyDescent="0.25">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ht="15.75" customHeight="1" x14ac:dyDescent="0.25">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ht="15.75" customHeight="1" x14ac:dyDescent="0.25">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ht="15.75" customHeight="1" x14ac:dyDescent="0.25">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ht="15.75" customHeight="1" x14ac:dyDescent="0.25">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ht="15.75" customHeight="1" x14ac:dyDescent="0.25">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ht="15.75" customHeight="1" x14ac:dyDescent="0.25">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ht="15.75" customHeight="1" x14ac:dyDescent="0.2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ht="15.75" customHeight="1" x14ac:dyDescent="0.25">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ht="15.75" customHeight="1" x14ac:dyDescent="0.25">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ht="15.75" customHeight="1" x14ac:dyDescent="0.25">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ht="15.75" customHeight="1" x14ac:dyDescent="0.25">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ht="15.75" customHeight="1" x14ac:dyDescent="0.25">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ht="15.75" customHeight="1" x14ac:dyDescent="0.25">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ht="15.75" customHeight="1" x14ac:dyDescent="0.25">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ht="15.75" customHeight="1" x14ac:dyDescent="0.25">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ht="15.75" customHeight="1" x14ac:dyDescent="0.25">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ht="15.75" customHeight="1" x14ac:dyDescent="0.2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ht="15.75" customHeight="1" x14ac:dyDescent="0.25">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ht="15.75" customHeight="1" x14ac:dyDescent="0.25">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ht="15.75" customHeight="1" x14ac:dyDescent="0.25">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ht="15.75" customHeight="1" x14ac:dyDescent="0.25">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ht="15.75" customHeight="1" x14ac:dyDescent="0.25">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ht="15.75" customHeight="1" x14ac:dyDescent="0.25">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ht="15.75" customHeight="1" x14ac:dyDescent="0.25">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ht="15.75" customHeight="1" x14ac:dyDescent="0.25">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ht="15.75" customHeight="1" x14ac:dyDescent="0.25">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ht="15.75" customHeight="1" x14ac:dyDescent="0.2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ht="15.75" customHeight="1" x14ac:dyDescent="0.25">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ht="15.75" customHeight="1" x14ac:dyDescent="0.25">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ht="15.75" customHeight="1" x14ac:dyDescent="0.25">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ht="15.75" customHeight="1" x14ac:dyDescent="0.25">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ht="15.75" customHeight="1" x14ac:dyDescent="0.25">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ht="15.75" customHeight="1" x14ac:dyDescent="0.25">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ht="15.75" customHeight="1" x14ac:dyDescent="0.25">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ht="15.75" customHeight="1" x14ac:dyDescent="0.25">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ht="15.75" customHeight="1" x14ac:dyDescent="0.25">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ht="15.75" customHeight="1" x14ac:dyDescent="0.2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ht="15.75" customHeight="1" x14ac:dyDescent="0.25">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ht="15.75" customHeight="1" x14ac:dyDescent="0.25">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ht="15.75" customHeight="1" x14ac:dyDescent="0.25">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ht="15.75" customHeight="1" x14ac:dyDescent="0.25">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ht="15.75" customHeight="1" x14ac:dyDescent="0.25">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ht="15.75" customHeight="1" x14ac:dyDescent="0.25">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ht="15.75" customHeight="1" x14ac:dyDescent="0.25">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ht="15.75" customHeight="1" x14ac:dyDescent="0.25">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ht="15.75" customHeight="1" x14ac:dyDescent="0.25">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ht="15.75" customHeight="1" x14ac:dyDescent="0.2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ht="15.75" customHeight="1" x14ac:dyDescent="0.25">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ht="15.75" customHeight="1" x14ac:dyDescent="0.25">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ht="15.75" customHeight="1" x14ac:dyDescent="0.25">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ht="15.75" customHeight="1" x14ac:dyDescent="0.25">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ht="15.75" customHeight="1" x14ac:dyDescent="0.25">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ht="15.75" customHeight="1" x14ac:dyDescent="0.25">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ht="15.75" customHeight="1" x14ac:dyDescent="0.25">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ht="15.75" customHeight="1" x14ac:dyDescent="0.25">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ht="15.75" customHeight="1" x14ac:dyDescent="0.25">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ht="15.75" customHeight="1" x14ac:dyDescent="0.2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ht="15.75" customHeight="1" x14ac:dyDescent="0.25">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ht="15.75" customHeight="1" x14ac:dyDescent="0.25">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ht="15.75" customHeight="1" x14ac:dyDescent="0.25">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ht="15.75" customHeight="1" x14ac:dyDescent="0.25">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ht="15.75" customHeight="1" x14ac:dyDescent="0.25">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ht="15.75" customHeight="1" x14ac:dyDescent="0.25">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ht="15.75" customHeight="1" x14ac:dyDescent="0.25">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ht="15.75" customHeight="1" x14ac:dyDescent="0.25">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ht="15.75" customHeight="1" x14ac:dyDescent="0.25">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ht="15.75" customHeight="1" x14ac:dyDescent="0.2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sheetData>
  <mergeCells count="2">
    <mergeCell ref="D3:F3"/>
    <mergeCell ref="C4:G4"/>
  </mergeCell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5"/>
  <sheetViews>
    <sheetView workbookViewId="0"/>
  </sheetViews>
  <sheetFormatPr defaultColWidth="11.25" defaultRowHeight="15" customHeight="1" x14ac:dyDescent="0.25"/>
  <cols>
    <col min="1" max="1" width="10.625" customWidth="1"/>
    <col min="2" max="2" width="4.375" customWidth="1"/>
    <col min="3" max="3" width="32.25" customWidth="1"/>
    <col min="4" max="4" width="10.625" customWidth="1"/>
    <col min="5" max="5" width="7.625" customWidth="1"/>
    <col min="6" max="6" width="13" customWidth="1"/>
    <col min="7" max="7" width="59" customWidth="1"/>
    <col min="8" max="8" width="9.375" customWidth="1"/>
    <col min="9" max="9" width="34.625" customWidth="1"/>
    <col min="10" max="10" width="11.375" customWidth="1"/>
    <col min="11" max="11" width="8" customWidth="1"/>
    <col min="12" max="12" width="13.25" customWidth="1"/>
    <col min="13" max="13" width="57.75" customWidth="1"/>
    <col min="14" max="26" width="10.625" customWidth="1"/>
  </cols>
  <sheetData>
    <row r="1" spans="1:26" ht="15.75" customHeight="1" x14ac:dyDescent="0.25">
      <c r="A1" s="37"/>
      <c r="B1" s="37"/>
      <c r="C1" s="37"/>
      <c r="D1" s="37"/>
      <c r="E1" s="37"/>
      <c r="F1" s="37"/>
      <c r="G1" s="37"/>
      <c r="H1" s="37"/>
      <c r="I1" s="37"/>
      <c r="J1" s="37"/>
      <c r="K1" s="37"/>
      <c r="L1" s="37"/>
      <c r="M1" s="37"/>
      <c r="N1" s="37"/>
      <c r="O1" s="37"/>
      <c r="P1" s="37"/>
      <c r="Q1" s="37"/>
      <c r="R1" s="37"/>
      <c r="S1" s="37"/>
      <c r="T1" s="37"/>
      <c r="U1" s="37"/>
      <c r="V1" s="37"/>
      <c r="W1" s="37"/>
      <c r="X1" s="37"/>
      <c r="Y1" s="37"/>
      <c r="Z1" s="37"/>
    </row>
    <row r="2" spans="1:26" ht="15.75" customHeight="1" x14ac:dyDescent="0.25">
      <c r="A2" s="37"/>
      <c r="B2" s="37"/>
      <c r="C2" s="37"/>
      <c r="D2" s="37"/>
      <c r="E2" s="37"/>
      <c r="F2" s="37"/>
      <c r="G2" s="37"/>
      <c r="H2" s="37"/>
      <c r="I2" s="37"/>
      <c r="J2" s="37"/>
      <c r="K2" s="37"/>
      <c r="L2" s="37"/>
      <c r="M2" s="37"/>
      <c r="N2" s="37"/>
      <c r="O2" s="37"/>
      <c r="P2" s="37"/>
      <c r="Q2" s="37"/>
      <c r="R2" s="37"/>
      <c r="S2" s="37"/>
      <c r="T2" s="37"/>
      <c r="U2" s="37"/>
      <c r="V2" s="37"/>
      <c r="W2" s="37"/>
      <c r="X2" s="37"/>
      <c r="Y2" s="37"/>
      <c r="Z2" s="37"/>
    </row>
    <row r="3" spans="1:26" ht="51" customHeight="1" x14ac:dyDescent="0.25">
      <c r="A3" s="37"/>
      <c r="B3" s="37"/>
      <c r="C3" s="38" t="s">
        <v>0</v>
      </c>
      <c r="D3" s="151" t="str">
        <f>'Visual Summary'!D4</f>
        <v>Shrimp</v>
      </c>
      <c r="E3" s="147"/>
      <c r="F3" s="147"/>
      <c r="G3" s="39"/>
      <c r="H3" s="37"/>
      <c r="I3" s="37"/>
      <c r="J3" s="37"/>
      <c r="K3" s="37"/>
      <c r="L3" s="37"/>
      <c r="M3" s="37"/>
      <c r="N3" s="37"/>
      <c r="O3" s="37"/>
      <c r="P3" s="37"/>
      <c r="Q3" s="37"/>
      <c r="R3" s="37"/>
      <c r="S3" s="37"/>
      <c r="T3" s="37"/>
      <c r="U3" s="37"/>
      <c r="V3" s="37"/>
      <c r="W3" s="37"/>
      <c r="X3" s="37"/>
      <c r="Y3" s="37"/>
      <c r="Z3" s="37"/>
    </row>
    <row r="4" spans="1:26" ht="61.5" customHeight="1" x14ac:dyDescent="0.25">
      <c r="A4" s="37"/>
      <c r="B4" s="37"/>
      <c r="C4" s="148" t="s">
        <v>18</v>
      </c>
      <c r="D4" s="149"/>
      <c r="E4" s="149"/>
      <c r="F4" s="149"/>
      <c r="G4" s="150"/>
      <c r="H4" s="37"/>
      <c r="I4" s="37"/>
      <c r="J4" s="40"/>
      <c r="K4" s="40"/>
      <c r="L4" s="37"/>
      <c r="M4" s="37"/>
      <c r="N4" s="37"/>
      <c r="O4" s="37"/>
      <c r="P4" s="37"/>
      <c r="Q4" s="37"/>
      <c r="R4" s="37"/>
      <c r="S4" s="37"/>
      <c r="T4" s="37"/>
      <c r="U4" s="37"/>
      <c r="V4" s="37"/>
      <c r="W4" s="37"/>
      <c r="X4" s="37"/>
      <c r="Y4" s="37"/>
      <c r="Z4" s="37"/>
    </row>
    <row r="5" spans="1:26" ht="61.5" hidden="1" customHeight="1" x14ac:dyDescent="0.25">
      <c r="A5" s="37"/>
      <c r="B5" s="37"/>
      <c r="E5" s="41">
        <v>100</v>
      </c>
      <c r="F5" s="37"/>
      <c r="G5" s="37"/>
      <c r="H5" s="37"/>
      <c r="I5" s="37"/>
      <c r="J5" s="40">
        <f>D4</f>
        <v>0</v>
      </c>
      <c r="K5" s="40">
        <f>E5</f>
        <v>100</v>
      </c>
      <c r="L5" s="37"/>
      <c r="M5" s="37"/>
      <c r="N5" s="37"/>
      <c r="O5" s="37"/>
      <c r="P5" s="37"/>
      <c r="Q5" s="37"/>
      <c r="R5" s="37"/>
      <c r="S5" s="37"/>
      <c r="T5" s="37"/>
      <c r="U5" s="37"/>
      <c r="V5" s="37"/>
      <c r="W5" s="37"/>
      <c r="X5" s="37"/>
      <c r="Y5" s="37"/>
      <c r="Z5" s="37"/>
    </row>
    <row r="6" spans="1:26" ht="62.25" customHeight="1" x14ac:dyDescent="0.25">
      <c r="A6" s="37"/>
      <c r="B6" s="37"/>
      <c r="C6" s="42" t="str">
        <f>'Visual Summary'!B5</f>
        <v xml:space="preserve">Economic Potential </v>
      </c>
      <c r="D6" s="43" t="s">
        <v>98</v>
      </c>
      <c r="E6" s="44" t="s">
        <v>20</v>
      </c>
      <c r="F6" s="45" t="s">
        <v>21</v>
      </c>
      <c r="G6" s="46" t="s">
        <v>22</v>
      </c>
      <c r="H6" s="37"/>
      <c r="I6" s="47" t="str">
        <f>'Visual Summary'!B9</f>
        <v>PWD Opportunities</v>
      </c>
      <c r="J6" s="48" t="s">
        <v>19</v>
      </c>
      <c r="K6" s="49" t="s">
        <v>20</v>
      </c>
      <c r="L6" s="50" t="s">
        <v>21</v>
      </c>
      <c r="M6" s="51" t="s">
        <v>22</v>
      </c>
      <c r="N6" s="37"/>
      <c r="O6" s="37"/>
      <c r="P6" s="37"/>
      <c r="Q6" s="37"/>
      <c r="R6" s="37"/>
      <c r="S6" s="37"/>
      <c r="T6" s="37"/>
      <c r="U6" s="37"/>
      <c r="V6" s="37"/>
      <c r="W6" s="37"/>
      <c r="X6" s="37"/>
      <c r="Y6" s="37"/>
      <c r="Z6" s="37"/>
    </row>
    <row r="7" spans="1:26" ht="117" customHeight="1" x14ac:dyDescent="0.4">
      <c r="A7" s="37"/>
      <c r="B7" s="37">
        <v>1</v>
      </c>
      <c r="C7" s="52" t="s">
        <v>23</v>
      </c>
      <c r="D7" s="53">
        <v>3</v>
      </c>
      <c r="E7" s="54">
        <v>30</v>
      </c>
      <c r="F7" s="55">
        <f t="shared" ref="F7:F11" si="0">(((D7*E7)/3))</f>
        <v>30</v>
      </c>
      <c r="G7" s="135" t="s">
        <v>134</v>
      </c>
      <c r="H7" s="57">
        <v>15</v>
      </c>
      <c r="I7" s="58" t="s">
        <v>25</v>
      </c>
      <c r="J7" s="53">
        <v>2</v>
      </c>
      <c r="K7" s="54">
        <v>20</v>
      </c>
      <c r="L7" s="55">
        <f>(((J8*K16)/3))</f>
        <v>13.333333333333334</v>
      </c>
      <c r="M7" s="138" t="s">
        <v>135</v>
      </c>
      <c r="N7" s="37"/>
      <c r="O7" s="37"/>
      <c r="P7" s="37"/>
      <c r="Q7" s="37"/>
      <c r="R7" s="37"/>
      <c r="S7" s="37"/>
      <c r="T7" s="37"/>
      <c r="U7" s="37"/>
      <c r="V7" s="37"/>
      <c r="W7" s="37"/>
      <c r="X7" s="37"/>
      <c r="Y7" s="37"/>
      <c r="Z7" s="37"/>
    </row>
    <row r="8" spans="1:26" ht="60.75" customHeight="1" x14ac:dyDescent="0.4">
      <c r="A8" s="37"/>
      <c r="B8" s="37">
        <v>2</v>
      </c>
      <c r="C8" s="52" t="s">
        <v>27</v>
      </c>
      <c r="D8" s="53">
        <v>3</v>
      </c>
      <c r="E8" s="54">
        <v>10</v>
      </c>
      <c r="F8" s="55">
        <f t="shared" si="0"/>
        <v>10</v>
      </c>
      <c r="G8" s="56" t="s">
        <v>136</v>
      </c>
      <c r="H8" s="57">
        <v>16</v>
      </c>
      <c r="I8" s="58" t="s">
        <v>29</v>
      </c>
      <c r="J8" s="53">
        <v>2</v>
      </c>
      <c r="K8" s="54">
        <v>20</v>
      </c>
      <c r="L8" s="55">
        <f t="shared" ref="L8:L11" si="1">(((J8*K17)/3))</f>
        <v>13.333333333333334</v>
      </c>
      <c r="M8" s="59" t="s">
        <v>137</v>
      </c>
      <c r="N8" s="37"/>
      <c r="O8" s="37"/>
      <c r="P8" s="37"/>
      <c r="Q8" s="37"/>
      <c r="R8" s="37"/>
      <c r="S8" s="37"/>
      <c r="T8" s="37"/>
      <c r="U8" s="37"/>
      <c r="V8" s="37"/>
      <c r="W8" s="37"/>
      <c r="X8" s="37"/>
      <c r="Y8" s="37"/>
      <c r="Z8" s="37"/>
    </row>
    <row r="9" spans="1:26" ht="101.25" customHeight="1" x14ac:dyDescent="0.4">
      <c r="A9" s="37"/>
      <c r="B9" s="37">
        <v>3</v>
      </c>
      <c r="C9" s="52" t="s">
        <v>31</v>
      </c>
      <c r="D9" s="53">
        <v>2</v>
      </c>
      <c r="E9" s="54">
        <v>10</v>
      </c>
      <c r="F9" s="55">
        <f t="shared" si="0"/>
        <v>6.666666666666667</v>
      </c>
      <c r="G9" s="56" t="s">
        <v>138</v>
      </c>
      <c r="H9" s="57">
        <v>17</v>
      </c>
      <c r="I9" s="58" t="s">
        <v>33</v>
      </c>
      <c r="J9" s="53">
        <v>2</v>
      </c>
      <c r="K9" s="54">
        <v>20</v>
      </c>
      <c r="L9" s="55">
        <f t="shared" si="1"/>
        <v>13.333333333333334</v>
      </c>
      <c r="M9" s="59" t="s">
        <v>139</v>
      </c>
      <c r="N9" s="37"/>
      <c r="O9" s="37"/>
      <c r="P9" s="37"/>
      <c r="Q9" s="37"/>
      <c r="R9" s="37"/>
      <c r="S9" s="37"/>
      <c r="T9" s="37"/>
      <c r="U9" s="37"/>
      <c r="V9" s="37"/>
      <c r="W9" s="37"/>
      <c r="X9" s="37"/>
      <c r="Y9" s="37"/>
      <c r="Z9" s="37"/>
    </row>
    <row r="10" spans="1:26" ht="97.5" customHeight="1" x14ac:dyDescent="0.4">
      <c r="A10" s="37"/>
      <c r="B10" s="37">
        <v>4</v>
      </c>
      <c r="C10" s="52" t="s">
        <v>35</v>
      </c>
      <c r="D10" s="53">
        <v>2</v>
      </c>
      <c r="E10" s="54">
        <v>30</v>
      </c>
      <c r="F10" s="55">
        <f t="shared" si="0"/>
        <v>20</v>
      </c>
      <c r="G10" s="56" t="s">
        <v>140</v>
      </c>
      <c r="H10" s="57">
        <v>18</v>
      </c>
      <c r="I10" s="58" t="s">
        <v>37</v>
      </c>
      <c r="J10" s="53">
        <v>0</v>
      </c>
      <c r="K10" s="54">
        <v>20</v>
      </c>
      <c r="L10" s="55">
        <f t="shared" si="1"/>
        <v>0</v>
      </c>
      <c r="M10" s="59" t="s">
        <v>141</v>
      </c>
      <c r="N10" s="37"/>
      <c r="O10" s="37"/>
      <c r="P10" s="37"/>
      <c r="Q10" s="37"/>
      <c r="R10" s="37"/>
      <c r="S10" s="37"/>
      <c r="T10" s="37"/>
      <c r="U10" s="37"/>
      <c r="V10" s="37"/>
      <c r="W10" s="37"/>
      <c r="X10" s="37"/>
      <c r="Y10" s="37"/>
      <c r="Z10" s="37"/>
    </row>
    <row r="11" spans="1:26" ht="114.75" customHeight="1" x14ac:dyDescent="0.25">
      <c r="A11" s="37"/>
      <c r="B11" s="37">
        <v>5</v>
      </c>
      <c r="C11" s="61" t="s">
        <v>39</v>
      </c>
      <c r="D11" s="53">
        <v>2</v>
      </c>
      <c r="E11" s="54">
        <v>20</v>
      </c>
      <c r="F11" s="55">
        <f t="shared" si="0"/>
        <v>13.333333333333334</v>
      </c>
      <c r="G11" s="56" t="s">
        <v>142</v>
      </c>
      <c r="H11" s="57">
        <v>19</v>
      </c>
      <c r="I11" s="58" t="s">
        <v>41</v>
      </c>
      <c r="J11" s="53">
        <v>1</v>
      </c>
      <c r="K11" s="54">
        <v>20</v>
      </c>
      <c r="L11" s="55">
        <f t="shared" si="1"/>
        <v>6.666666666666667</v>
      </c>
      <c r="M11" s="139" t="s">
        <v>143</v>
      </c>
      <c r="N11" s="37"/>
      <c r="O11" s="37"/>
      <c r="P11" s="37"/>
      <c r="Q11" s="37"/>
      <c r="R11" s="37"/>
      <c r="S11" s="37"/>
      <c r="T11" s="37"/>
      <c r="U11" s="37"/>
      <c r="V11" s="37"/>
      <c r="W11" s="37"/>
      <c r="X11" s="37"/>
      <c r="Y11" s="37"/>
      <c r="Z11" s="37"/>
    </row>
    <row r="12" spans="1:26" ht="15.75" customHeight="1" x14ac:dyDescent="0.25">
      <c r="A12" s="37"/>
      <c r="B12" s="37"/>
      <c r="C12" s="62" t="s">
        <v>43</v>
      </c>
      <c r="D12" s="63"/>
      <c r="E12" s="64">
        <f>SUM(E7:E11)</f>
        <v>100</v>
      </c>
      <c r="F12" s="65">
        <f>(SUM(F7:F11))/10</f>
        <v>7.9999999999999982</v>
      </c>
      <c r="G12" s="66"/>
      <c r="H12" s="37"/>
      <c r="I12" s="67" t="s">
        <v>43</v>
      </c>
      <c r="J12" s="68"/>
      <c r="K12" s="69">
        <f>SUM(K7:K11)</f>
        <v>100</v>
      </c>
      <c r="L12" s="70">
        <f>(SUM(L7:L11))/10</f>
        <v>4.6666666666666661</v>
      </c>
      <c r="M12" s="59"/>
      <c r="N12" s="37"/>
      <c r="O12" s="37"/>
      <c r="P12" s="37"/>
      <c r="Q12" s="37"/>
      <c r="R12" s="37"/>
      <c r="S12" s="37"/>
      <c r="T12" s="37"/>
      <c r="U12" s="37"/>
      <c r="V12" s="37"/>
      <c r="W12" s="37"/>
      <c r="X12" s="37"/>
      <c r="Y12" s="37"/>
      <c r="Z12" s="37"/>
    </row>
    <row r="13" spans="1:26" ht="15.75" customHeight="1" x14ac:dyDescent="0.25">
      <c r="A13" s="37"/>
      <c r="B13" s="37"/>
      <c r="C13" s="58"/>
      <c r="D13" s="37"/>
      <c r="E13" s="37"/>
      <c r="F13" s="37"/>
      <c r="G13" s="71"/>
      <c r="H13" s="37"/>
      <c r="I13" s="37"/>
      <c r="J13" s="37"/>
      <c r="K13" s="37"/>
      <c r="L13" s="37"/>
      <c r="M13" s="37"/>
      <c r="N13" s="37"/>
      <c r="O13" s="37"/>
      <c r="P13" s="37"/>
      <c r="Q13" s="37"/>
      <c r="R13" s="37"/>
      <c r="S13" s="37"/>
      <c r="T13" s="37"/>
      <c r="U13" s="37"/>
      <c r="V13" s="37"/>
      <c r="W13" s="37"/>
      <c r="X13" s="37"/>
      <c r="Y13" s="37"/>
      <c r="Z13" s="37"/>
    </row>
    <row r="14" spans="1:26" ht="15.75" customHeight="1" x14ac:dyDescent="0.25">
      <c r="A14" s="37"/>
      <c r="B14" s="37"/>
      <c r="C14" s="58"/>
      <c r="D14" s="37"/>
      <c r="E14" s="37"/>
      <c r="F14" s="37"/>
      <c r="G14" s="71"/>
      <c r="H14" s="37"/>
      <c r="I14" s="37"/>
      <c r="J14" s="37"/>
      <c r="K14" s="37"/>
      <c r="L14" s="37"/>
      <c r="M14" s="37"/>
      <c r="N14" s="37"/>
      <c r="O14" s="37"/>
      <c r="P14" s="37"/>
      <c r="Q14" s="37"/>
      <c r="R14" s="37"/>
      <c r="S14" s="37"/>
      <c r="T14" s="37"/>
      <c r="U14" s="37"/>
      <c r="V14" s="37"/>
      <c r="W14" s="37"/>
      <c r="X14" s="37"/>
      <c r="Y14" s="37"/>
      <c r="Z14" s="37"/>
    </row>
    <row r="15" spans="1:26" ht="70.5" customHeight="1" x14ac:dyDescent="0.25">
      <c r="A15" s="37"/>
      <c r="B15" s="37"/>
      <c r="C15" s="72" t="str">
        <f>'Visual Summary'!B6</f>
        <v xml:space="preserve">Pro-Poor Potential </v>
      </c>
      <c r="D15" s="73" t="s">
        <v>19</v>
      </c>
      <c r="E15" s="74" t="s">
        <v>20</v>
      </c>
      <c r="F15" s="140" t="s">
        <v>21</v>
      </c>
      <c r="G15" s="141" t="s">
        <v>22</v>
      </c>
      <c r="H15" s="37"/>
      <c r="I15" s="77" t="str">
        <f>'Visual Summary'!B10</f>
        <v>WEE Opportunitiies</v>
      </c>
      <c r="J15" s="78" t="s">
        <v>19</v>
      </c>
      <c r="K15" s="79" t="s">
        <v>20</v>
      </c>
      <c r="L15" s="80" t="s">
        <v>21</v>
      </c>
      <c r="M15" s="81" t="s">
        <v>22</v>
      </c>
      <c r="N15" s="37"/>
      <c r="O15" s="37"/>
      <c r="P15" s="37"/>
      <c r="Q15" s="37"/>
      <c r="R15" s="37"/>
      <c r="S15" s="37"/>
      <c r="T15" s="37"/>
      <c r="U15" s="37"/>
      <c r="V15" s="37"/>
      <c r="W15" s="37"/>
      <c r="X15" s="37"/>
      <c r="Y15" s="37"/>
      <c r="Z15" s="37"/>
    </row>
    <row r="16" spans="1:26" ht="94.5" x14ac:dyDescent="0.25">
      <c r="A16" s="37"/>
      <c r="B16" s="37">
        <v>6</v>
      </c>
      <c r="C16" s="61" t="s">
        <v>44</v>
      </c>
      <c r="D16" s="53">
        <v>2</v>
      </c>
      <c r="E16" s="82">
        <v>20</v>
      </c>
      <c r="F16" s="82">
        <f t="shared" ref="F16:F20" si="2">(((D16*E16)/3))</f>
        <v>13.333333333333334</v>
      </c>
      <c r="G16" s="142" t="s">
        <v>144</v>
      </c>
      <c r="H16" s="57">
        <v>20</v>
      </c>
      <c r="I16" s="58" t="s">
        <v>46</v>
      </c>
      <c r="J16" s="53">
        <v>2</v>
      </c>
      <c r="K16" s="54">
        <v>20</v>
      </c>
      <c r="L16" s="55">
        <f t="shared" ref="L16:L20" si="3">(((J16*K16)/3))</f>
        <v>13.333333333333334</v>
      </c>
      <c r="M16" s="135" t="s">
        <v>145</v>
      </c>
      <c r="N16" s="37"/>
      <c r="O16" s="37"/>
      <c r="P16" s="37"/>
      <c r="Q16" s="37"/>
      <c r="R16" s="37"/>
      <c r="S16" s="37"/>
      <c r="T16" s="37"/>
      <c r="U16" s="37"/>
      <c r="V16" s="37"/>
      <c r="W16" s="37"/>
      <c r="X16" s="37"/>
      <c r="Y16" s="37"/>
      <c r="Z16" s="37"/>
    </row>
    <row r="17" spans="1:26" ht="83.25" customHeight="1" x14ac:dyDescent="0.25">
      <c r="A17" s="37"/>
      <c r="B17" s="37">
        <v>7</v>
      </c>
      <c r="C17" s="61" t="s">
        <v>48</v>
      </c>
      <c r="D17" s="53">
        <v>1</v>
      </c>
      <c r="E17" s="82">
        <v>20</v>
      </c>
      <c r="F17" s="82">
        <f t="shared" si="2"/>
        <v>6.666666666666667</v>
      </c>
      <c r="G17" s="142" t="s">
        <v>146</v>
      </c>
      <c r="H17" s="57">
        <v>21</v>
      </c>
      <c r="I17" s="58" t="s">
        <v>50</v>
      </c>
      <c r="J17" s="53">
        <v>3</v>
      </c>
      <c r="K17" s="54">
        <v>20</v>
      </c>
      <c r="L17" s="60">
        <f t="shared" si="3"/>
        <v>20</v>
      </c>
      <c r="M17" s="59" t="s">
        <v>147</v>
      </c>
      <c r="N17" s="37"/>
      <c r="O17" s="37"/>
      <c r="P17" s="37"/>
      <c r="Q17" s="37"/>
      <c r="R17" s="37"/>
      <c r="S17" s="37"/>
      <c r="T17" s="37"/>
      <c r="U17" s="37"/>
      <c r="V17" s="37"/>
      <c r="W17" s="37"/>
      <c r="X17" s="37"/>
      <c r="Y17" s="37"/>
      <c r="Z17" s="37"/>
    </row>
    <row r="18" spans="1:26" ht="78.75" x14ac:dyDescent="0.25">
      <c r="A18" s="37"/>
      <c r="B18" s="37">
        <v>8</v>
      </c>
      <c r="C18" s="61" t="s">
        <v>52</v>
      </c>
      <c r="D18" s="53">
        <v>3</v>
      </c>
      <c r="E18" s="82">
        <v>20</v>
      </c>
      <c r="F18" s="82">
        <f t="shared" si="2"/>
        <v>20</v>
      </c>
      <c r="G18" s="142" t="s">
        <v>148</v>
      </c>
      <c r="H18" s="57">
        <v>22</v>
      </c>
      <c r="I18" s="58" t="s">
        <v>54</v>
      </c>
      <c r="J18" s="53">
        <v>3</v>
      </c>
      <c r="K18" s="54">
        <v>20</v>
      </c>
      <c r="L18" s="60">
        <f t="shared" si="3"/>
        <v>20</v>
      </c>
      <c r="M18" s="59" t="s">
        <v>149</v>
      </c>
      <c r="N18" s="37"/>
      <c r="O18" s="37"/>
      <c r="P18" s="37"/>
      <c r="Q18" s="37"/>
      <c r="R18" s="37"/>
      <c r="S18" s="37"/>
      <c r="T18" s="37"/>
      <c r="U18" s="37"/>
      <c r="V18" s="37"/>
      <c r="W18" s="37"/>
      <c r="X18" s="37"/>
      <c r="Y18" s="37"/>
      <c r="Z18" s="37"/>
    </row>
    <row r="19" spans="1:26" ht="60.75" customHeight="1" x14ac:dyDescent="0.25">
      <c r="A19" s="37"/>
      <c r="B19" s="37">
        <v>9</v>
      </c>
      <c r="C19" s="61" t="s">
        <v>56</v>
      </c>
      <c r="D19" s="53">
        <v>3</v>
      </c>
      <c r="E19" s="82">
        <v>20</v>
      </c>
      <c r="F19" s="82">
        <f t="shared" si="2"/>
        <v>20</v>
      </c>
      <c r="G19" s="142" t="s">
        <v>150</v>
      </c>
      <c r="H19" s="57">
        <v>23</v>
      </c>
      <c r="I19" s="58" t="s">
        <v>58</v>
      </c>
      <c r="J19" s="53">
        <v>1</v>
      </c>
      <c r="K19" s="54">
        <v>20</v>
      </c>
      <c r="L19" s="60">
        <f t="shared" si="3"/>
        <v>6.666666666666667</v>
      </c>
      <c r="M19" s="59" t="s">
        <v>151</v>
      </c>
      <c r="N19" s="37"/>
      <c r="O19" s="37"/>
      <c r="P19" s="37"/>
      <c r="Q19" s="37"/>
      <c r="R19" s="37"/>
      <c r="S19" s="37"/>
      <c r="T19" s="37"/>
      <c r="U19" s="37"/>
      <c r="V19" s="37"/>
      <c r="W19" s="37"/>
      <c r="X19" s="37"/>
      <c r="Y19" s="37"/>
      <c r="Z19" s="37"/>
    </row>
    <row r="20" spans="1:26" ht="60" customHeight="1" x14ac:dyDescent="0.25">
      <c r="A20" s="37"/>
      <c r="B20" s="37">
        <v>10</v>
      </c>
      <c r="C20" s="84" t="s">
        <v>60</v>
      </c>
      <c r="D20" s="85">
        <v>2</v>
      </c>
      <c r="E20" s="86">
        <v>20</v>
      </c>
      <c r="F20" s="86">
        <f t="shared" si="2"/>
        <v>13.333333333333334</v>
      </c>
      <c r="G20" s="143" t="s">
        <v>152</v>
      </c>
      <c r="H20" s="57">
        <v>24</v>
      </c>
      <c r="I20" s="58" t="s">
        <v>62</v>
      </c>
      <c r="J20" s="53">
        <v>2</v>
      </c>
      <c r="K20" s="54">
        <v>20</v>
      </c>
      <c r="L20" s="60">
        <f t="shared" si="3"/>
        <v>13.333333333333334</v>
      </c>
      <c r="M20" s="59" t="s">
        <v>153</v>
      </c>
      <c r="N20" s="37"/>
      <c r="O20" s="37"/>
      <c r="P20" s="37"/>
      <c r="Q20" s="37"/>
      <c r="R20" s="37"/>
      <c r="S20" s="37"/>
      <c r="T20" s="37"/>
      <c r="U20" s="37"/>
      <c r="V20" s="37"/>
      <c r="W20" s="37"/>
      <c r="X20" s="37"/>
      <c r="Y20" s="37"/>
      <c r="Z20" s="37"/>
    </row>
    <row r="21" spans="1:26" ht="15.75" customHeight="1" x14ac:dyDescent="0.25">
      <c r="A21" s="37"/>
      <c r="B21" s="37"/>
      <c r="C21" s="58" t="s">
        <v>64</v>
      </c>
      <c r="D21" s="88"/>
      <c r="E21" s="82">
        <f>SUM(E16:E20)</f>
        <v>100</v>
      </c>
      <c r="F21" s="82">
        <f>(SUM(F16:F20))/10</f>
        <v>7.333333333333333</v>
      </c>
      <c r="G21" s="59"/>
      <c r="H21" s="37"/>
      <c r="I21" s="89" t="s">
        <v>43</v>
      </c>
      <c r="J21" s="90"/>
      <c r="K21" s="91">
        <f>SUM(K16:K20)</f>
        <v>100</v>
      </c>
      <c r="L21" s="92">
        <f>(SUM(L16:L20))/10</f>
        <v>7.333333333333333</v>
      </c>
      <c r="M21" s="59"/>
      <c r="N21" s="37"/>
      <c r="O21" s="37"/>
      <c r="P21" s="37"/>
      <c r="Q21" s="37"/>
      <c r="R21" s="37"/>
      <c r="S21" s="37"/>
      <c r="T21" s="37"/>
      <c r="U21" s="37"/>
      <c r="V21" s="37"/>
      <c r="W21" s="37"/>
      <c r="X21" s="37"/>
      <c r="Y21" s="37"/>
      <c r="Z21" s="37"/>
    </row>
    <row r="22" spans="1:26" ht="27" customHeight="1" x14ac:dyDescent="0.25">
      <c r="A22" s="37"/>
      <c r="B22" s="37"/>
      <c r="C22" s="37"/>
      <c r="D22" s="37"/>
      <c r="E22" s="37"/>
      <c r="F22" s="37"/>
      <c r="G22" s="37"/>
      <c r="H22" s="37"/>
      <c r="I22" s="37"/>
      <c r="J22" s="37"/>
      <c r="K22" s="37"/>
      <c r="L22" s="37"/>
      <c r="N22" s="37"/>
      <c r="O22" s="37"/>
      <c r="P22" s="37"/>
      <c r="Q22" s="37"/>
      <c r="R22" s="37"/>
      <c r="S22" s="37"/>
      <c r="T22" s="37"/>
      <c r="U22" s="37"/>
      <c r="V22" s="37"/>
      <c r="W22" s="37"/>
      <c r="X22" s="37"/>
      <c r="Y22" s="37"/>
      <c r="Z22" s="37"/>
    </row>
    <row r="23" spans="1:26" ht="70.5" customHeight="1" x14ac:dyDescent="0.25">
      <c r="A23" s="37"/>
      <c r="B23" s="37"/>
      <c r="C23" s="93" t="str">
        <f>'Visual Summary'!B7</f>
        <v xml:space="preserve">Green Growth Potential </v>
      </c>
      <c r="D23" s="94" t="s">
        <v>19</v>
      </c>
      <c r="E23" s="95" t="s">
        <v>20</v>
      </c>
      <c r="F23" s="96" t="s">
        <v>21</v>
      </c>
      <c r="G23" s="144" t="s">
        <v>22</v>
      </c>
      <c r="H23" s="37"/>
      <c r="I23" s="97" t="str">
        <f>'Visual Summary'!B11</f>
        <v xml:space="preserve">Quick Win Potential </v>
      </c>
      <c r="J23" s="98" t="s">
        <v>19</v>
      </c>
      <c r="K23" s="99" t="s">
        <v>20</v>
      </c>
      <c r="L23" s="100" t="s">
        <v>21</v>
      </c>
      <c r="M23" s="101" t="s">
        <v>22</v>
      </c>
      <c r="N23" s="37"/>
      <c r="O23" s="37"/>
      <c r="P23" s="37"/>
      <c r="Q23" s="37"/>
      <c r="R23" s="37"/>
      <c r="S23" s="37"/>
      <c r="T23" s="37"/>
      <c r="U23" s="37"/>
      <c r="V23" s="37"/>
      <c r="W23" s="37"/>
      <c r="X23" s="37"/>
      <c r="Y23" s="37"/>
      <c r="Z23" s="37"/>
    </row>
    <row r="24" spans="1:26" ht="78.75" x14ac:dyDescent="0.25">
      <c r="A24" s="37"/>
      <c r="B24" s="37">
        <v>6</v>
      </c>
      <c r="C24" s="58" t="s">
        <v>65</v>
      </c>
      <c r="D24" s="53">
        <v>2</v>
      </c>
      <c r="E24" s="82">
        <v>20</v>
      </c>
      <c r="F24" s="82">
        <f t="shared" ref="F24:F28" si="4">(((D24*E24)/3))</f>
        <v>13.333333333333334</v>
      </c>
      <c r="G24" s="145" t="s">
        <v>154</v>
      </c>
      <c r="H24" s="57">
        <v>20</v>
      </c>
      <c r="I24" s="58" t="s">
        <v>67</v>
      </c>
      <c r="J24" s="53">
        <v>3</v>
      </c>
      <c r="K24" s="54">
        <v>10</v>
      </c>
      <c r="L24" s="55">
        <f t="shared" ref="L24:L28" si="5">(((J24*K24)/3))</f>
        <v>10</v>
      </c>
      <c r="M24" s="58" t="s">
        <v>155</v>
      </c>
      <c r="N24" s="37"/>
      <c r="O24" s="37"/>
      <c r="P24" s="37"/>
      <c r="Q24" s="37"/>
      <c r="R24" s="37"/>
      <c r="S24" s="37"/>
      <c r="T24" s="37"/>
      <c r="U24" s="37"/>
      <c r="V24" s="37"/>
      <c r="W24" s="37"/>
      <c r="X24" s="37"/>
      <c r="Y24" s="37"/>
      <c r="Z24" s="37"/>
    </row>
    <row r="25" spans="1:26" ht="83.25" customHeight="1" x14ac:dyDescent="0.25">
      <c r="A25" s="37"/>
      <c r="B25" s="37">
        <v>7</v>
      </c>
      <c r="C25" s="58" t="s">
        <v>69</v>
      </c>
      <c r="D25" s="53">
        <v>2</v>
      </c>
      <c r="E25" s="82">
        <v>20</v>
      </c>
      <c r="F25" s="82">
        <f t="shared" si="4"/>
        <v>13.333333333333334</v>
      </c>
      <c r="G25" s="142" t="s">
        <v>156</v>
      </c>
      <c r="H25" s="57">
        <v>21</v>
      </c>
      <c r="I25" s="58" t="s">
        <v>71</v>
      </c>
      <c r="J25" s="53">
        <v>3</v>
      </c>
      <c r="K25" s="54">
        <v>15</v>
      </c>
      <c r="L25" s="60">
        <f t="shared" si="5"/>
        <v>15</v>
      </c>
      <c r="M25" s="58" t="s">
        <v>157</v>
      </c>
      <c r="N25" s="37"/>
      <c r="O25" s="37"/>
      <c r="P25" s="37"/>
      <c r="Q25" s="37"/>
      <c r="R25" s="37"/>
      <c r="S25" s="37"/>
      <c r="T25" s="37"/>
      <c r="U25" s="37"/>
      <c r="V25" s="37"/>
      <c r="W25" s="37"/>
      <c r="X25" s="37"/>
      <c r="Y25" s="37"/>
      <c r="Z25" s="37"/>
    </row>
    <row r="26" spans="1:26" ht="63" x14ac:dyDescent="0.25">
      <c r="A26" s="37"/>
      <c r="B26" s="37">
        <v>8</v>
      </c>
      <c r="C26" s="58" t="s">
        <v>73</v>
      </c>
      <c r="D26" s="53">
        <v>2</v>
      </c>
      <c r="E26" s="82">
        <v>20</v>
      </c>
      <c r="F26" s="82">
        <f t="shared" si="4"/>
        <v>13.333333333333334</v>
      </c>
      <c r="G26" s="142" t="s">
        <v>158</v>
      </c>
      <c r="H26" s="57">
        <v>22</v>
      </c>
      <c r="I26" s="58" t="s">
        <v>75</v>
      </c>
      <c r="J26" s="53">
        <v>3</v>
      </c>
      <c r="K26" s="54">
        <v>20</v>
      </c>
      <c r="L26" s="60">
        <f t="shared" si="5"/>
        <v>20</v>
      </c>
      <c r="M26" s="58" t="s">
        <v>159</v>
      </c>
      <c r="N26" s="37"/>
      <c r="O26" s="37"/>
      <c r="P26" s="37"/>
      <c r="Q26" s="37"/>
      <c r="R26" s="37"/>
      <c r="S26" s="37"/>
      <c r="T26" s="37"/>
      <c r="U26" s="37"/>
      <c r="V26" s="37"/>
      <c r="W26" s="37"/>
      <c r="X26" s="37"/>
      <c r="Y26" s="37"/>
      <c r="Z26" s="37"/>
    </row>
    <row r="27" spans="1:26" ht="60.75" customHeight="1" x14ac:dyDescent="0.25">
      <c r="A27" s="37"/>
      <c r="B27" s="37">
        <v>9</v>
      </c>
      <c r="C27" s="58" t="s">
        <v>77</v>
      </c>
      <c r="D27" s="53">
        <v>3</v>
      </c>
      <c r="E27" s="82">
        <v>20</v>
      </c>
      <c r="F27" s="82">
        <f t="shared" si="4"/>
        <v>20</v>
      </c>
      <c r="G27" s="142" t="s">
        <v>160</v>
      </c>
      <c r="H27" s="57">
        <v>23</v>
      </c>
      <c r="I27" s="58" t="s">
        <v>79</v>
      </c>
      <c r="J27" s="53">
        <v>2</v>
      </c>
      <c r="K27" s="54">
        <v>25</v>
      </c>
      <c r="L27" s="60">
        <f t="shared" si="5"/>
        <v>16.666666666666668</v>
      </c>
      <c r="M27" s="58" t="s">
        <v>161</v>
      </c>
      <c r="N27" s="37"/>
      <c r="O27" s="37"/>
      <c r="P27" s="37"/>
      <c r="Q27" s="37"/>
      <c r="R27" s="37"/>
      <c r="S27" s="37"/>
      <c r="T27" s="37"/>
      <c r="U27" s="37"/>
      <c r="V27" s="37"/>
      <c r="W27" s="37"/>
      <c r="X27" s="37"/>
      <c r="Y27" s="37"/>
      <c r="Z27" s="37"/>
    </row>
    <row r="28" spans="1:26" ht="60" customHeight="1" x14ac:dyDescent="0.25">
      <c r="A28" s="37"/>
      <c r="B28" s="37">
        <v>10</v>
      </c>
      <c r="C28" s="58" t="s">
        <v>81</v>
      </c>
      <c r="D28" s="53"/>
      <c r="E28" s="82">
        <v>20</v>
      </c>
      <c r="F28" s="82">
        <f t="shared" si="4"/>
        <v>0</v>
      </c>
      <c r="G28" s="143" t="s">
        <v>162</v>
      </c>
      <c r="H28" s="57">
        <v>24</v>
      </c>
      <c r="I28" s="58" t="s">
        <v>83</v>
      </c>
      <c r="J28" s="53">
        <v>2</v>
      </c>
      <c r="K28" s="54">
        <v>30</v>
      </c>
      <c r="L28" s="60">
        <f t="shared" si="5"/>
        <v>20</v>
      </c>
      <c r="M28" s="58" t="s">
        <v>163</v>
      </c>
      <c r="N28" s="37"/>
      <c r="O28" s="37"/>
      <c r="P28" s="37"/>
      <c r="Q28" s="37"/>
      <c r="R28" s="37"/>
      <c r="S28" s="37"/>
      <c r="T28" s="37"/>
      <c r="U28" s="37"/>
      <c r="V28" s="37"/>
      <c r="W28" s="37"/>
      <c r="X28" s="37"/>
      <c r="Y28" s="37"/>
      <c r="Z28" s="37"/>
    </row>
    <row r="29" spans="1:26" ht="15.75" customHeight="1" x14ac:dyDescent="0.25">
      <c r="A29" s="37"/>
      <c r="B29" s="37"/>
      <c r="C29" s="103" t="s">
        <v>64</v>
      </c>
      <c r="D29" s="104"/>
      <c r="E29" s="105">
        <f>SUM(E24:E28)</f>
        <v>100</v>
      </c>
      <c r="F29" s="105">
        <f>(SUM(F24:F28))/10</f>
        <v>6</v>
      </c>
      <c r="G29" s="59"/>
      <c r="H29" s="37"/>
      <c r="I29" s="89" t="s">
        <v>43</v>
      </c>
      <c r="J29" s="90"/>
      <c r="K29" s="91">
        <f>SUM(K24:K28)</f>
        <v>100</v>
      </c>
      <c r="L29" s="92">
        <f>(SUM(L24:L28))/10</f>
        <v>8.1666666666666679</v>
      </c>
      <c r="M29" s="59"/>
      <c r="N29" s="37"/>
      <c r="O29" s="37"/>
      <c r="P29" s="37"/>
      <c r="Q29" s="37"/>
      <c r="R29" s="37"/>
      <c r="S29" s="37"/>
      <c r="T29" s="37"/>
      <c r="U29" s="37"/>
      <c r="V29" s="37"/>
      <c r="W29" s="37"/>
      <c r="X29" s="37"/>
      <c r="Y29" s="37"/>
      <c r="Z29" s="37"/>
    </row>
    <row r="30" spans="1:26" ht="31.5" customHeight="1" x14ac:dyDescent="0.25">
      <c r="A30" s="37"/>
      <c r="B30" s="37"/>
      <c r="C30" s="107"/>
      <c r="D30" s="108"/>
      <c r="E30" s="107"/>
      <c r="F30" s="107"/>
      <c r="G30" s="107"/>
      <c r="H30" s="37"/>
      <c r="I30" s="41"/>
      <c r="J30" s="41"/>
      <c r="K30" s="41"/>
      <c r="L30" s="41"/>
      <c r="M30" s="37"/>
      <c r="N30" s="37"/>
      <c r="O30" s="37"/>
      <c r="P30" s="37"/>
      <c r="Q30" s="37"/>
      <c r="R30" s="37"/>
      <c r="S30" s="37"/>
      <c r="T30" s="37"/>
      <c r="U30" s="37"/>
      <c r="V30" s="37"/>
      <c r="W30" s="37"/>
      <c r="X30" s="37"/>
      <c r="Y30" s="37"/>
      <c r="Z30" s="37"/>
    </row>
    <row r="31" spans="1:26" ht="31.5" customHeight="1" x14ac:dyDescent="0.25">
      <c r="A31" s="37"/>
      <c r="B31" s="37"/>
      <c r="C31" s="109" t="str">
        <f>'Visual Summary'!B8</f>
        <v xml:space="preserve">Systemic Change Potential </v>
      </c>
      <c r="D31" s="110" t="s">
        <v>19</v>
      </c>
      <c r="E31" s="111" t="s">
        <v>20</v>
      </c>
      <c r="F31" s="112" t="s">
        <v>21</v>
      </c>
      <c r="G31" s="112" t="s">
        <v>22</v>
      </c>
      <c r="H31" s="37"/>
      <c r="I31" s="113" t="s">
        <v>85</v>
      </c>
      <c r="J31" s="113"/>
      <c r="K31" s="113"/>
      <c r="L31" s="113" t="s">
        <v>21</v>
      </c>
      <c r="M31" s="37"/>
      <c r="N31" s="114" t="s">
        <v>86</v>
      </c>
      <c r="O31" s="115" t="s">
        <v>87</v>
      </c>
      <c r="P31" s="116" t="s">
        <v>21</v>
      </c>
      <c r="Q31" s="37"/>
      <c r="R31" s="37"/>
      <c r="S31" s="37"/>
      <c r="T31" s="37"/>
      <c r="U31" s="37"/>
      <c r="V31" s="37"/>
      <c r="W31" s="37"/>
      <c r="X31" s="37"/>
      <c r="Y31" s="37"/>
      <c r="Z31" s="37"/>
    </row>
    <row r="32" spans="1:26" ht="94.5" x14ac:dyDescent="0.35">
      <c r="A32" s="37"/>
      <c r="B32" s="37">
        <v>11</v>
      </c>
      <c r="C32" s="58" t="s">
        <v>88</v>
      </c>
      <c r="D32" s="53">
        <v>3</v>
      </c>
      <c r="E32" s="54">
        <v>20</v>
      </c>
      <c r="F32" s="117">
        <f t="shared" ref="F32:F36" si="6">(((D32*E32)/3))</f>
        <v>20</v>
      </c>
      <c r="G32" s="118" t="s">
        <v>164</v>
      </c>
      <c r="H32" s="37"/>
      <c r="I32" s="119" t="str">
        <f>C6</f>
        <v xml:space="preserve">Economic Potential </v>
      </c>
      <c r="J32" s="119"/>
      <c r="K32" s="119"/>
      <c r="L32" s="120">
        <f>F12</f>
        <v>7.9999999999999982</v>
      </c>
      <c r="M32" s="121"/>
      <c r="N32" s="122">
        <v>25</v>
      </c>
      <c r="O32" s="123">
        <v>0.8</v>
      </c>
      <c r="P32" s="122">
        <f t="shared" ref="P32:P38" si="7">N32*O32</f>
        <v>20</v>
      </c>
      <c r="Q32" s="37"/>
      <c r="R32" s="37"/>
      <c r="S32" s="37"/>
      <c r="T32" s="37"/>
      <c r="U32" s="37"/>
      <c r="V32" s="37"/>
      <c r="W32" s="37"/>
      <c r="X32" s="37"/>
      <c r="Y32" s="37"/>
      <c r="Z32" s="37"/>
    </row>
    <row r="33" spans="1:26" ht="78" customHeight="1" x14ac:dyDescent="0.35">
      <c r="A33" s="37"/>
      <c r="B33" s="37">
        <v>12</v>
      </c>
      <c r="C33" s="58" t="s">
        <v>90</v>
      </c>
      <c r="D33" s="53">
        <v>3</v>
      </c>
      <c r="E33" s="54">
        <v>20</v>
      </c>
      <c r="F33" s="117">
        <f t="shared" si="6"/>
        <v>20</v>
      </c>
      <c r="G33" s="118" t="s">
        <v>165</v>
      </c>
      <c r="H33" s="37"/>
      <c r="I33" s="119" t="str">
        <f>'Visual Summary'!B6</f>
        <v xml:space="preserve">Pro-Poor Potential </v>
      </c>
      <c r="J33" s="119"/>
      <c r="K33" s="119"/>
      <c r="L33" s="120">
        <f>F21</f>
        <v>7.333333333333333</v>
      </c>
      <c r="M33" s="121"/>
      <c r="N33" s="122">
        <v>20</v>
      </c>
      <c r="O33" s="123">
        <v>0.73</v>
      </c>
      <c r="P33" s="122">
        <f t="shared" si="7"/>
        <v>14.6</v>
      </c>
      <c r="Q33" s="37"/>
      <c r="R33" s="37"/>
      <c r="S33" s="37"/>
      <c r="T33" s="37"/>
      <c r="U33" s="37"/>
      <c r="V33" s="37"/>
      <c r="W33" s="37"/>
      <c r="X33" s="37"/>
      <c r="Y33" s="37"/>
      <c r="Z33" s="37"/>
    </row>
    <row r="34" spans="1:26" ht="69.75" customHeight="1" x14ac:dyDescent="0.35">
      <c r="A34" s="37"/>
      <c r="B34" s="37">
        <v>13</v>
      </c>
      <c r="C34" s="58" t="s">
        <v>92</v>
      </c>
      <c r="D34" s="53">
        <v>2</v>
      </c>
      <c r="E34" s="54">
        <v>20</v>
      </c>
      <c r="F34" s="117">
        <f t="shared" si="6"/>
        <v>13.333333333333334</v>
      </c>
      <c r="G34" s="118" t="s">
        <v>166</v>
      </c>
      <c r="H34" s="37"/>
      <c r="I34" s="119" t="str">
        <f>'Visual Summary'!B7</f>
        <v xml:space="preserve">Green Growth Potential </v>
      </c>
      <c r="J34" s="119"/>
      <c r="K34" s="119"/>
      <c r="L34" s="120">
        <f>F29</f>
        <v>6</v>
      </c>
      <c r="M34" s="121"/>
      <c r="N34" s="122">
        <v>20</v>
      </c>
      <c r="O34" s="123">
        <v>0.6</v>
      </c>
      <c r="P34" s="122">
        <f t="shared" si="7"/>
        <v>12</v>
      </c>
      <c r="Q34" s="37"/>
      <c r="R34" s="37"/>
      <c r="S34" s="37"/>
      <c r="T34" s="37"/>
      <c r="U34" s="37"/>
      <c r="V34" s="37"/>
      <c r="W34" s="37"/>
      <c r="X34" s="37"/>
      <c r="Y34" s="37"/>
      <c r="Z34" s="37"/>
    </row>
    <row r="35" spans="1:26" ht="88.5" customHeight="1" x14ac:dyDescent="0.35">
      <c r="A35" s="37"/>
      <c r="B35" s="37">
        <v>14</v>
      </c>
      <c r="C35" s="58" t="s">
        <v>94</v>
      </c>
      <c r="D35" s="53">
        <v>2</v>
      </c>
      <c r="E35" s="54">
        <v>20</v>
      </c>
      <c r="F35" s="117">
        <f t="shared" si="6"/>
        <v>13.333333333333334</v>
      </c>
      <c r="G35" s="118" t="s">
        <v>167</v>
      </c>
      <c r="H35" s="37"/>
      <c r="I35" s="119" t="str">
        <f>'Visual Summary'!B8</f>
        <v xml:space="preserve">Systemic Change Potential </v>
      </c>
      <c r="J35" s="119"/>
      <c r="K35" s="119"/>
      <c r="L35" s="120">
        <f>F37</f>
        <v>8</v>
      </c>
      <c r="M35" s="121"/>
      <c r="N35" s="122">
        <v>10</v>
      </c>
      <c r="O35" s="123">
        <v>0.8</v>
      </c>
      <c r="P35" s="122">
        <f t="shared" si="7"/>
        <v>8</v>
      </c>
      <c r="Q35" s="37"/>
      <c r="R35" s="37"/>
      <c r="S35" s="37"/>
      <c r="T35" s="37"/>
      <c r="U35" s="37"/>
      <c r="V35" s="37"/>
      <c r="W35" s="37"/>
      <c r="X35" s="37"/>
      <c r="Y35" s="37"/>
      <c r="Z35" s="37"/>
    </row>
    <row r="36" spans="1:26" ht="88.5" customHeight="1" x14ac:dyDescent="0.35">
      <c r="A36" s="37"/>
      <c r="B36" s="37">
        <v>15</v>
      </c>
      <c r="C36" s="58" t="s">
        <v>96</v>
      </c>
      <c r="D36" s="53">
        <v>2</v>
      </c>
      <c r="E36" s="54">
        <v>20</v>
      </c>
      <c r="F36" s="117">
        <f t="shared" si="6"/>
        <v>13.333333333333334</v>
      </c>
      <c r="G36" s="118" t="s">
        <v>168</v>
      </c>
      <c r="H36" s="37"/>
      <c r="I36" s="119" t="str">
        <f>'Visual Summary'!B9</f>
        <v>PWD Opportunities</v>
      </c>
      <c r="J36" s="124"/>
      <c r="K36" s="124"/>
      <c r="L36" s="125">
        <f>L12</f>
        <v>4.6666666666666661</v>
      </c>
      <c r="M36" s="121"/>
      <c r="N36" s="122">
        <v>5</v>
      </c>
      <c r="O36" s="123">
        <v>0.47</v>
      </c>
      <c r="P36" s="122">
        <f t="shared" si="7"/>
        <v>2.3499999999999996</v>
      </c>
      <c r="Q36" s="37"/>
      <c r="R36" s="37"/>
      <c r="S36" s="37"/>
      <c r="T36" s="37"/>
      <c r="U36" s="37"/>
      <c r="V36" s="37"/>
      <c r="W36" s="37"/>
      <c r="X36" s="37"/>
      <c r="Y36" s="37"/>
      <c r="Z36" s="37"/>
    </row>
    <row r="37" spans="1:26" ht="63" customHeight="1" x14ac:dyDescent="0.35">
      <c r="A37" s="37"/>
      <c r="B37" s="37"/>
      <c r="C37" s="67" t="s">
        <v>43</v>
      </c>
      <c r="D37" s="68"/>
      <c r="E37" s="126">
        <f>SUM(E32:E36)</f>
        <v>100</v>
      </c>
      <c r="F37" s="127">
        <f>(SUM(F32:F36))/10</f>
        <v>8</v>
      </c>
      <c r="G37" s="128"/>
      <c r="H37" s="37"/>
      <c r="I37" s="119" t="str">
        <f>'Visual Summary'!B10</f>
        <v>WEE Opportunitiies</v>
      </c>
      <c r="J37" s="129"/>
      <c r="K37" s="129"/>
      <c r="L37" s="120">
        <f>L21</f>
        <v>7.333333333333333</v>
      </c>
      <c r="M37" s="121"/>
      <c r="N37" s="122">
        <v>10</v>
      </c>
      <c r="O37" s="123">
        <v>0.73</v>
      </c>
      <c r="P37" s="122">
        <f t="shared" si="7"/>
        <v>7.3</v>
      </c>
      <c r="Q37" s="37"/>
      <c r="R37" s="37"/>
      <c r="S37" s="37"/>
      <c r="T37" s="37"/>
      <c r="U37" s="37"/>
      <c r="V37" s="37"/>
      <c r="W37" s="37"/>
      <c r="X37" s="37"/>
      <c r="Y37" s="37"/>
      <c r="Z37" s="37"/>
    </row>
    <row r="38" spans="1:26" ht="61.5" customHeight="1" x14ac:dyDescent="0.35">
      <c r="A38" s="37"/>
      <c r="B38" s="37"/>
      <c r="C38" s="37"/>
      <c r="D38" s="37"/>
      <c r="E38" s="37"/>
      <c r="F38" s="37"/>
      <c r="G38" s="37"/>
      <c r="H38" s="37"/>
      <c r="I38" s="119" t="str">
        <f>'Visual Summary'!B11</f>
        <v xml:space="preserve">Quick Win Potential </v>
      </c>
      <c r="J38" s="129"/>
      <c r="K38" s="129"/>
      <c r="L38" s="120">
        <f>L29</f>
        <v>8.1666666666666679</v>
      </c>
      <c r="M38" s="121"/>
      <c r="N38" s="122">
        <v>10</v>
      </c>
      <c r="O38" s="123">
        <v>0.82</v>
      </c>
      <c r="P38" s="122">
        <f t="shared" si="7"/>
        <v>8.1999999999999993</v>
      </c>
      <c r="Q38" s="37"/>
      <c r="R38" s="37"/>
      <c r="S38" s="37"/>
      <c r="T38" s="37"/>
      <c r="U38" s="37"/>
      <c r="V38" s="37"/>
      <c r="W38" s="37"/>
      <c r="X38" s="37"/>
      <c r="Y38" s="37"/>
      <c r="Z38" s="37"/>
    </row>
    <row r="39" spans="1:26" ht="15.75" customHeight="1" x14ac:dyDescent="0.25">
      <c r="A39" s="37"/>
      <c r="B39" s="37"/>
      <c r="C39" s="37"/>
      <c r="D39" s="37"/>
      <c r="E39" s="37"/>
      <c r="F39" s="37"/>
      <c r="G39" s="37"/>
      <c r="H39" s="37"/>
      <c r="I39" s="37"/>
      <c r="J39" s="37"/>
      <c r="K39" s="37"/>
      <c r="L39" s="37"/>
      <c r="M39" s="37"/>
      <c r="N39" s="130"/>
      <c r="O39" s="130" t="s">
        <v>43</v>
      </c>
      <c r="P39" s="130">
        <f>SUM(P32:P38)</f>
        <v>72.45</v>
      </c>
      <c r="Q39" s="37"/>
      <c r="R39" s="37"/>
      <c r="S39" s="37"/>
      <c r="T39" s="37"/>
      <c r="U39" s="37"/>
      <c r="V39" s="37"/>
      <c r="W39" s="37"/>
      <c r="X39" s="37"/>
      <c r="Y39" s="37"/>
      <c r="Z39" s="37"/>
    </row>
    <row r="40" spans="1:26" ht="15.75" customHeight="1" x14ac:dyDescent="0.25">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row>
    <row r="41" spans="1:26" ht="15.75" customHeight="1" x14ac:dyDescent="0.25">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row>
    <row r="42" spans="1:26" ht="15.75" customHeight="1" x14ac:dyDescent="0.25">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ht="15.75" customHeight="1" x14ac:dyDescent="0.25">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row>
    <row r="44" spans="1:26" ht="15.75" customHeight="1" x14ac:dyDescent="0.25">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row>
    <row r="45" spans="1:26" ht="15.75" customHeight="1" x14ac:dyDescent="0.25">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ht="15.75" customHeight="1" x14ac:dyDescent="0.25">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ht="15.75" customHeight="1" x14ac:dyDescent="0.25">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ht="15.75" customHeight="1" x14ac:dyDescent="0.25">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ht="15.75" customHeight="1" x14ac:dyDescent="0.25">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ht="15.75" customHeight="1" x14ac:dyDescent="0.25">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ht="15.75" customHeight="1" x14ac:dyDescent="0.25">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ht="15.75" customHeight="1" x14ac:dyDescent="0.25">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ht="15.75" customHeight="1" x14ac:dyDescent="0.25">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ht="15.75" customHeight="1" x14ac:dyDescent="0.25">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ht="15.75" customHeight="1" x14ac:dyDescent="0.25">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ht="15.75" customHeight="1" x14ac:dyDescent="0.25">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ht="15.75" customHeight="1" x14ac:dyDescent="0.25">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ht="15.75" customHeight="1" x14ac:dyDescent="0.25">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ht="15.75" customHeight="1" x14ac:dyDescent="0.25">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ht="15.75" customHeight="1" x14ac:dyDescent="0.25">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ht="15.75" customHeight="1" x14ac:dyDescent="0.25">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ht="15.75" customHeight="1" x14ac:dyDescent="0.25">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ht="15.75" customHeight="1" x14ac:dyDescent="0.25">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ht="15.75" customHeight="1" x14ac:dyDescent="0.25">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ht="15.75" customHeight="1" x14ac:dyDescent="0.25">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ht="15.75" customHeight="1" x14ac:dyDescent="0.25">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ht="15.75" customHeight="1" x14ac:dyDescent="0.25">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ht="15.75" customHeight="1" x14ac:dyDescent="0.25">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ht="15.75" customHeight="1" x14ac:dyDescent="0.25">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ht="15.75" customHeight="1" x14ac:dyDescent="0.25">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ht="15.75" customHeight="1" x14ac:dyDescent="0.25">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ht="15.75" customHeight="1" x14ac:dyDescent="0.25">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ht="15.75" customHeight="1" x14ac:dyDescent="0.25">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ht="15.75" customHeight="1" x14ac:dyDescent="0.25">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ht="15.75" customHeight="1" x14ac:dyDescent="0.25">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ht="15.75" customHeight="1" x14ac:dyDescent="0.25">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ht="15.75" customHeight="1" x14ac:dyDescent="0.25">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ht="15.75" customHeight="1" x14ac:dyDescent="0.25">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ht="15.75" customHeight="1" x14ac:dyDescent="0.25">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ht="15.75" customHeight="1" x14ac:dyDescent="0.25">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ht="15.75" customHeight="1" x14ac:dyDescent="0.25">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ht="15.75" customHeight="1" x14ac:dyDescent="0.25">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ht="15.75" customHeight="1" x14ac:dyDescent="0.25">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ht="15.75" customHeight="1" x14ac:dyDescent="0.25">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ht="15.75" customHeight="1" x14ac:dyDescent="0.25">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ht="15.75" customHeight="1" x14ac:dyDescent="0.25">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ht="15.75" customHeight="1" x14ac:dyDescent="0.25">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ht="15.75" customHeight="1" x14ac:dyDescent="0.25">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ht="15.75" customHeight="1" x14ac:dyDescent="0.25">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ht="15.75" customHeight="1" x14ac:dyDescent="0.25">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ht="15.75" customHeight="1" x14ac:dyDescent="0.25">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ht="15.75" customHeight="1" x14ac:dyDescent="0.25">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ht="15.75" customHeight="1" x14ac:dyDescent="0.25">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ht="15.75" customHeight="1" x14ac:dyDescent="0.25">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ht="15.75" customHeight="1" x14ac:dyDescent="0.25">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ht="15.75" customHeight="1" x14ac:dyDescent="0.25">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ht="15.75" customHeight="1" x14ac:dyDescent="0.25">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ht="15.75" customHeight="1" x14ac:dyDescent="0.25">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ht="15.75" customHeight="1" x14ac:dyDescent="0.25">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ht="15.75" customHeight="1" x14ac:dyDescent="0.25">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ht="15.75" customHeight="1" x14ac:dyDescent="0.25">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ht="15.75" customHeight="1" x14ac:dyDescent="0.25">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ht="15.75" customHeight="1" x14ac:dyDescent="0.25">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ht="15.75" customHeight="1" x14ac:dyDescent="0.25">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ht="15.75" customHeight="1" x14ac:dyDescent="0.2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ht="15.75" customHeight="1" x14ac:dyDescent="0.25">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ht="15.75" customHeight="1" x14ac:dyDescent="0.25">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ht="15.75" customHeight="1" x14ac:dyDescent="0.25">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ht="15.75" customHeight="1" x14ac:dyDescent="0.25">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ht="15.75" customHeight="1" x14ac:dyDescent="0.25">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ht="15.75" customHeight="1" x14ac:dyDescent="0.25">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ht="15.75" customHeight="1" x14ac:dyDescent="0.25">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ht="15.75" customHeight="1" x14ac:dyDescent="0.25">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ht="15.75" customHeight="1" x14ac:dyDescent="0.25">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ht="15.75" customHeight="1" x14ac:dyDescent="0.2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ht="15.75" customHeight="1" x14ac:dyDescent="0.25">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ht="15.75" customHeight="1" x14ac:dyDescent="0.25">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ht="15.75" customHeight="1" x14ac:dyDescent="0.25">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ht="15.75" customHeight="1" x14ac:dyDescent="0.25">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ht="15.75" customHeight="1" x14ac:dyDescent="0.25">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ht="15.75" customHeight="1" x14ac:dyDescent="0.25">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ht="15.75" customHeight="1" x14ac:dyDescent="0.25">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ht="15.75" customHeight="1" x14ac:dyDescent="0.25">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ht="15.75" customHeight="1" x14ac:dyDescent="0.25">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ht="15.75" customHeight="1" x14ac:dyDescent="0.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ht="15.75" customHeight="1" x14ac:dyDescent="0.25">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ht="15.75" customHeight="1" x14ac:dyDescent="0.25">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ht="15.75" customHeight="1" x14ac:dyDescent="0.25">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ht="15.75" customHeight="1" x14ac:dyDescent="0.25">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ht="15.75" customHeight="1" x14ac:dyDescent="0.25">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ht="15.75" customHeight="1" x14ac:dyDescent="0.25">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ht="15.75" customHeight="1" x14ac:dyDescent="0.25">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ht="15.75" customHeight="1" x14ac:dyDescent="0.25">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ht="15.75" customHeight="1" x14ac:dyDescent="0.25">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ht="15.75" customHeight="1" x14ac:dyDescent="0.2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ht="15.75" customHeight="1" x14ac:dyDescent="0.25">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ht="15.75" customHeight="1" x14ac:dyDescent="0.25">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ht="15.75" customHeight="1" x14ac:dyDescent="0.25">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ht="15.75" customHeight="1" x14ac:dyDescent="0.25">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ht="15.75" customHeight="1" x14ac:dyDescent="0.25">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ht="15.75" customHeight="1" x14ac:dyDescent="0.25">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ht="15.75" customHeight="1" x14ac:dyDescent="0.25">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ht="15.75" customHeight="1" x14ac:dyDescent="0.25">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ht="15.75" customHeight="1" x14ac:dyDescent="0.25">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ht="15.75" customHeight="1" x14ac:dyDescent="0.2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ht="15.75" customHeight="1" x14ac:dyDescent="0.25">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ht="15.75" customHeight="1" x14ac:dyDescent="0.25">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ht="15.75" customHeight="1" x14ac:dyDescent="0.25">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ht="15.75" customHeight="1" x14ac:dyDescent="0.25">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ht="15.75" customHeight="1" x14ac:dyDescent="0.25">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ht="15.75" customHeight="1" x14ac:dyDescent="0.25">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ht="15.75" customHeight="1" x14ac:dyDescent="0.25">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ht="15.75" customHeight="1" x14ac:dyDescent="0.25">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ht="15.75" customHeight="1" x14ac:dyDescent="0.25">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ht="15.75" customHeight="1" x14ac:dyDescent="0.2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ht="15.75" customHeight="1" x14ac:dyDescent="0.25">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ht="15.75" customHeight="1" x14ac:dyDescent="0.25">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ht="15.75" customHeight="1" x14ac:dyDescent="0.25">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ht="15.75" customHeight="1" x14ac:dyDescent="0.25">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ht="15.75" customHeight="1" x14ac:dyDescent="0.25">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ht="15.75" customHeight="1" x14ac:dyDescent="0.25">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ht="15.75" customHeight="1" x14ac:dyDescent="0.25">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ht="15.75" customHeight="1" x14ac:dyDescent="0.25">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ht="15.75" customHeight="1" x14ac:dyDescent="0.25">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ht="15.75" customHeight="1" x14ac:dyDescent="0.2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ht="15.75" customHeight="1" x14ac:dyDescent="0.25">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ht="15.75" customHeight="1" x14ac:dyDescent="0.25">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ht="15.75" customHeight="1" x14ac:dyDescent="0.25">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ht="15.75" customHeight="1" x14ac:dyDescent="0.25">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ht="15.75" customHeight="1" x14ac:dyDescent="0.25">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ht="15.75" customHeight="1" x14ac:dyDescent="0.25">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ht="15.75" customHeight="1" x14ac:dyDescent="0.25">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ht="15.75" customHeight="1" x14ac:dyDescent="0.25">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ht="15.75" customHeight="1" x14ac:dyDescent="0.25">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ht="15.75" customHeight="1" x14ac:dyDescent="0.2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ht="15.75" customHeight="1" x14ac:dyDescent="0.25">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ht="15.75" customHeight="1" x14ac:dyDescent="0.25">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ht="15.75" customHeight="1" x14ac:dyDescent="0.25">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ht="15.75" customHeight="1" x14ac:dyDescent="0.25">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ht="15.75" customHeight="1" x14ac:dyDescent="0.25">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ht="15.75" customHeight="1" x14ac:dyDescent="0.25">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ht="15.75" customHeight="1" x14ac:dyDescent="0.25">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ht="15.75" customHeight="1" x14ac:dyDescent="0.25">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ht="15.75" customHeight="1" x14ac:dyDescent="0.25">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ht="15.75" customHeight="1" x14ac:dyDescent="0.2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ht="15.75" customHeight="1" x14ac:dyDescent="0.25">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ht="15.75" customHeight="1" x14ac:dyDescent="0.25">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ht="15.75" customHeight="1" x14ac:dyDescent="0.25">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ht="15.75" customHeight="1" x14ac:dyDescent="0.25">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ht="15.75" customHeight="1" x14ac:dyDescent="0.25">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ht="15.75" customHeight="1" x14ac:dyDescent="0.25">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ht="15.75" customHeight="1" x14ac:dyDescent="0.25">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ht="15.75" customHeight="1" x14ac:dyDescent="0.25">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ht="15.75" customHeight="1" x14ac:dyDescent="0.25">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ht="15.75" customHeight="1" x14ac:dyDescent="0.2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ht="15.75" customHeight="1" x14ac:dyDescent="0.25">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ht="15.75" customHeight="1" x14ac:dyDescent="0.25">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ht="15.75" customHeight="1" x14ac:dyDescent="0.25">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ht="15.75" customHeight="1" x14ac:dyDescent="0.25">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ht="15.75" customHeight="1" x14ac:dyDescent="0.25">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ht="15.75" customHeight="1" x14ac:dyDescent="0.25">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ht="15.75" customHeight="1" x14ac:dyDescent="0.25">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ht="15.75" customHeight="1" x14ac:dyDescent="0.25">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ht="15.75" customHeight="1" x14ac:dyDescent="0.25">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ht="15.75" customHeight="1" x14ac:dyDescent="0.2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ht="15.75" customHeight="1" x14ac:dyDescent="0.25">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ht="15.75" customHeight="1" x14ac:dyDescent="0.25">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ht="15.75" customHeight="1" x14ac:dyDescent="0.25">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ht="15.75" customHeight="1" x14ac:dyDescent="0.25">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ht="15.75" customHeight="1" x14ac:dyDescent="0.25">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ht="15.75" customHeight="1" x14ac:dyDescent="0.25">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ht="15.75" customHeight="1" x14ac:dyDescent="0.25">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ht="15.75" customHeight="1" x14ac:dyDescent="0.25">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ht="15.75" customHeight="1" x14ac:dyDescent="0.25">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ht="15.75" customHeight="1" x14ac:dyDescent="0.2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ht="15.75" customHeight="1" x14ac:dyDescent="0.25">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ht="15.75" customHeight="1" x14ac:dyDescent="0.25">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ht="15.75" customHeight="1" x14ac:dyDescent="0.25">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ht="15.75" customHeight="1" x14ac:dyDescent="0.25">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ht="15.75" customHeight="1" x14ac:dyDescent="0.25">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ht="15.75" customHeight="1" x14ac:dyDescent="0.25">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ht="15.75" customHeight="1" x14ac:dyDescent="0.25">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ht="15.75" customHeight="1" x14ac:dyDescent="0.25">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ht="15.75" customHeight="1" x14ac:dyDescent="0.25">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ht="15.75" customHeight="1" x14ac:dyDescent="0.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ht="15.75" customHeight="1" x14ac:dyDescent="0.25">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ht="15.75" customHeight="1" x14ac:dyDescent="0.25">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ht="15.75" customHeight="1" x14ac:dyDescent="0.25">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ht="15.75" customHeight="1" x14ac:dyDescent="0.25">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ht="15.75" customHeight="1" x14ac:dyDescent="0.25">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ht="15.75" customHeight="1" x14ac:dyDescent="0.25">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ht="15.75" customHeight="1" x14ac:dyDescent="0.25">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ht="15.75" customHeight="1" x14ac:dyDescent="0.25">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ht="15.75" customHeight="1" x14ac:dyDescent="0.25">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ht="15.75" customHeight="1" x14ac:dyDescent="0.2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ht="15.75" customHeight="1" x14ac:dyDescent="0.25">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ht="15.75" customHeight="1" x14ac:dyDescent="0.25">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ht="15.75" customHeight="1" x14ac:dyDescent="0.25">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ht="15.75" customHeight="1" x14ac:dyDescent="0.25">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ht="15.75" customHeight="1" x14ac:dyDescent="0.25">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ht="15.75" customHeight="1" x14ac:dyDescent="0.25">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ht="15.75" customHeight="1" x14ac:dyDescent="0.25">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ht="15.75" customHeight="1" x14ac:dyDescent="0.25">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ht="15.75" customHeight="1" x14ac:dyDescent="0.25">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ht="15.75" customHeight="1" x14ac:dyDescent="0.2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ht="15.75" customHeight="1" x14ac:dyDescent="0.25">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ht="15.75" customHeight="1" x14ac:dyDescent="0.25">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ht="15.75" customHeight="1" x14ac:dyDescent="0.25">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ht="15.75" customHeight="1" x14ac:dyDescent="0.25">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ht="15.75" customHeight="1" x14ac:dyDescent="0.25">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ht="15.75" customHeight="1" x14ac:dyDescent="0.25">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ht="15.75" customHeight="1" x14ac:dyDescent="0.25">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ht="15.75" customHeight="1" x14ac:dyDescent="0.25">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ht="15.75" customHeight="1" x14ac:dyDescent="0.25">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ht="15.75" customHeight="1" x14ac:dyDescent="0.2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ht="15.75" customHeight="1" x14ac:dyDescent="0.25">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ht="15.75" customHeight="1" x14ac:dyDescent="0.25">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ht="15.75" customHeight="1" x14ac:dyDescent="0.25">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ht="15.75" customHeight="1" x14ac:dyDescent="0.25">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ht="15.75" customHeight="1" x14ac:dyDescent="0.25">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ht="15.75" customHeight="1" x14ac:dyDescent="0.25">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ht="15.75" customHeight="1" x14ac:dyDescent="0.25">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ht="15.75" customHeight="1" x14ac:dyDescent="0.25">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ht="15.75" customHeight="1" x14ac:dyDescent="0.25">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ht="15.75" customHeight="1" x14ac:dyDescent="0.2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ht="15.75" customHeight="1" x14ac:dyDescent="0.25">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ht="15.75" customHeight="1" x14ac:dyDescent="0.25">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ht="15.75" customHeight="1" x14ac:dyDescent="0.25">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ht="15.75" customHeight="1" x14ac:dyDescent="0.25">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ht="15.75" customHeight="1" x14ac:dyDescent="0.25">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ht="15.75" customHeight="1" x14ac:dyDescent="0.25">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ht="15.75" customHeight="1" x14ac:dyDescent="0.25">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ht="15.75" customHeight="1" x14ac:dyDescent="0.25">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ht="15.75" customHeight="1" x14ac:dyDescent="0.25">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ht="15.75" customHeight="1" x14ac:dyDescent="0.2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ht="15.75" customHeight="1" x14ac:dyDescent="0.25">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ht="15.75" customHeight="1" x14ac:dyDescent="0.25">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ht="15.75" customHeight="1" x14ac:dyDescent="0.25">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ht="15.75" customHeight="1" x14ac:dyDescent="0.25">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ht="15.75" customHeight="1" x14ac:dyDescent="0.25">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ht="15.75" customHeight="1" x14ac:dyDescent="0.25">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ht="15.75" customHeight="1" x14ac:dyDescent="0.25">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ht="15.75" customHeight="1" x14ac:dyDescent="0.25">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ht="15.75" customHeight="1" x14ac:dyDescent="0.25">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ht="15.75" customHeight="1" x14ac:dyDescent="0.2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ht="15.75" customHeight="1" x14ac:dyDescent="0.25">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ht="15.75" customHeight="1" x14ac:dyDescent="0.25">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ht="15.75" customHeight="1" x14ac:dyDescent="0.25">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ht="15.75" customHeight="1" x14ac:dyDescent="0.25">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ht="15.75" customHeight="1" x14ac:dyDescent="0.25">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ht="15.75" customHeight="1" x14ac:dyDescent="0.25">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ht="15.75" customHeight="1" x14ac:dyDescent="0.25">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ht="15.75" customHeight="1" x14ac:dyDescent="0.25">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ht="15.75" customHeight="1" x14ac:dyDescent="0.25">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ht="15.75" customHeight="1" x14ac:dyDescent="0.2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ht="15.75" customHeight="1" x14ac:dyDescent="0.25">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ht="15.75" customHeight="1" x14ac:dyDescent="0.25">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ht="15.75" customHeight="1" x14ac:dyDescent="0.25">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ht="15.75" customHeight="1" x14ac:dyDescent="0.25">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ht="15.75" customHeight="1" x14ac:dyDescent="0.25">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ht="15.75" customHeight="1" x14ac:dyDescent="0.25">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ht="15.75" customHeight="1" x14ac:dyDescent="0.25">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ht="15.75" customHeight="1" x14ac:dyDescent="0.25">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ht="15.75" customHeight="1" x14ac:dyDescent="0.25">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ht="15.75" customHeight="1" x14ac:dyDescent="0.2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ht="15.75" customHeight="1" x14ac:dyDescent="0.25">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ht="15.75" customHeight="1" x14ac:dyDescent="0.25">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ht="15.75" customHeight="1" x14ac:dyDescent="0.25">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ht="15.75" customHeight="1" x14ac:dyDescent="0.25">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ht="15.75" customHeight="1" x14ac:dyDescent="0.25">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ht="15.75" customHeight="1" x14ac:dyDescent="0.25">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ht="15.75" customHeight="1" x14ac:dyDescent="0.25">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ht="15.75" customHeight="1" x14ac:dyDescent="0.25">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ht="15.75" customHeight="1" x14ac:dyDescent="0.25">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ht="15.75" customHeight="1" x14ac:dyDescent="0.2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ht="15.75" customHeight="1" x14ac:dyDescent="0.25">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ht="15.75" customHeight="1" x14ac:dyDescent="0.25">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ht="15.75" customHeight="1" x14ac:dyDescent="0.25">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ht="15.75" customHeight="1" x14ac:dyDescent="0.25">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ht="15.75" customHeight="1" x14ac:dyDescent="0.25">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ht="15.75" customHeight="1" x14ac:dyDescent="0.25">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ht="15.75" customHeight="1" x14ac:dyDescent="0.25">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ht="15.75" customHeight="1" x14ac:dyDescent="0.25">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ht="15.75" customHeight="1" x14ac:dyDescent="0.25">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ht="15.75" customHeight="1" x14ac:dyDescent="0.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ht="15.75" customHeight="1" x14ac:dyDescent="0.25">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ht="15.75" customHeight="1" x14ac:dyDescent="0.25">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ht="15.75" customHeight="1" x14ac:dyDescent="0.25">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ht="15.75" customHeight="1" x14ac:dyDescent="0.25">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ht="15.75" customHeight="1" x14ac:dyDescent="0.25">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ht="15.75" customHeight="1" x14ac:dyDescent="0.25">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ht="15.75" customHeight="1" x14ac:dyDescent="0.25">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ht="15.75" customHeight="1" x14ac:dyDescent="0.25">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ht="15.75" customHeight="1" x14ac:dyDescent="0.25">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ht="15.75" customHeight="1" x14ac:dyDescent="0.2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ht="15.75" customHeight="1" x14ac:dyDescent="0.25">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ht="15.75" customHeight="1" x14ac:dyDescent="0.25">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ht="15.75" customHeight="1" x14ac:dyDescent="0.25">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ht="15.75" customHeight="1" x14ac:dyDescent="0.25">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ht="15.75" customHeight="1" x14ac:dyDescent="0.25">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ht="15.75" customHeight="1" x14ac:dyDescent="0.25">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ht="15.75" customHeight="1" x14ac:dyDescent="0.25">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ht="15.75" customHeight="1" x14ac:dyDescent="0.25">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ht="15.75" customHeight="1" x14ac:dyDescent="0.25">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ht="15.75" customHeight="1" x14ac:dyDescent="0.2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ht="15.75" customHeight="1" x14ac:dyDescent="0.25">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ht="15.75" customHeight="1" x14ac:dyDescent="0.25">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ht="15.75" customHeight="1" x14ac:dyDescent="0.25">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ht="15.75" customHeight="1" x14ac:dyDescent="0.25">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ht="15.75" customHeight="1" x14ac:dyDescent="0.25">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ht="15.75" customHeight="1" x14ac:dyDescent="0.25">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ht="15.75" customHeight="1" x14ac:dyDescent="0.25">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ht="15.75" customHeight="1" x14ac:dyDescent="0.25">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ht="15.75" customHeight="1" x14ac:dyDescent="0.25">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ht="15.75" customHeight="1" x14ac:dyDescent="0.2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ht="15.75" customHeight="1" x14ac:dyDescent="0.25">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ht="15.75" customHeight="1" x14ac:dyDescent="0.25">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ht="15.75" customHeight="1" x14ac:dyDescent="0.25">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ht="15.75" customHeight="1" x14ac:dyDescent="0.25">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ht="15.75" customHeight="1" x14ac:dyDescent="0.25">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ht="15.75" customHeight="1" x14ac:dyDescent="0.25">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ht="15.75" customHeight="1" x14ac:dyDescent="0.25">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ht="15.75" customHeight="1" x14ac:dyDescent="0.25">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ht="15.75" customHeight="1" x14ac:dyDescent="0.25">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ht="15.75" customHeight="1" x14ac:dyDescent="0.2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ht="15.75" customHeight="1" x14ac:dyDescent="0.25">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ht="15.75" customHeight="1" x14ac:dyDescent="0.25">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ht="15.75" customHeight="1" x14ac:dyDescent="0.25">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ht="15.75" customHeight="1" x14ac:dyDescent="0.25">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ht="15.75" customHeight="1" x14ac:dyDescent="0.25">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ht="15.75" customHeight="1" x14ac:dyDescent="0.25">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ht="15.75" customHeight="1" x14ac:dyDescent="0.25">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ht="15.75" customHeight="1" x14ac:dyDescent="0.25">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ht="15.75" customHeight="1" x14ac:dyDescent="0.25">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ht="15.75" customHeight="1" x14ac:dyDescent="0.2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ht="15.75" customHeight="1" x14ac:dyDescent="0.25">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ht="15.75" customHeight="1" x14ac:dyDescent="0.25">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ht="15.75" customHeight="1" x14ac:dyDescent="0.25">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ht="15.75" customHeight="1" x14ac:dyDescent="0.25">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ht="15.75" customHeight="1" x14ac:dyDescent="0.25">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ht="15.75" customHeight="1" x14ac:dyDescent="0.25">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ht="15.75" customHeight="1" x14ac:dyDescent="0.25">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ht="15.75" customHeight="1" x14ac:dyDescent="0.25">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ht="15.75" customHeight="1" x14ac:dyDescent="0.25">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ht="15.75" customHeight="1" x14ac:dyDescent="0.2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ht="15.75" customHeight="1" x14ac:dyDescent="0.25">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ht="15.75" customHeight="1" x14ac:dyDescent="0.25">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ht="15.75" customHeight="1" x14ac:dyDescent="0.25">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ht="15.75" customHeight="1" x14ac:dyDescent="0.25">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ht="15.75" customHeight="1" x14ac:dyDescent="0.25">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ht="15.75" customHeight="1" x14ac:dyDescent="0.25">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ht="15.75" customHeight="1" x14ac:dyDescent="0.25">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ht="15.75" customHeight="1" x14ac:dyDescent="0.25">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ht="15.75" customHeight="1" x14ac:dyDescent="0.25">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ht="15.75" customHeight="1" x14ac:dyDescent="0.2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ht="15.75" customHeight="1" x14ac:dyDescent="0.25">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ht="15.75" customHeight="1" x14ac:dyDescent="0.25">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ht="15.75" customHeight="1" x14ac:dyDescent="0.25">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ht="15.75" customHeight="1" x14ac:dyDescent="0.25">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ht="15.75" customHeight="1" x14ac:dyDescent="0.25">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ht="15.75" customHeight="1" x14ac:dyDescent="0.25">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ht="15.75" customHeight="1" x14ac:dyDescent="0.25">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ht="15.75" customHeight="1" x14ac:dyDescent="0.25">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ht="15.75" customHeight="1" x14ac:dyDescent="0.25">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ht="15.75" customHeight="1" x14ac:dyDescent="0.2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ht="15.75" customHeight="1" x14ac:dyDescent="0.25">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ht="15.75" customHeight="1" x14ac:dyDescent="0.25">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ht="15.75" customHeight="1" x14ac:dyDescent="0.25">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ht="15.75" customHeight="1" x14ac:dyDescent="0.25">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ht="15.75" customHeight="1" x14ac:dyDescent="0.25">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ht="15.75" customHeight="1" x14ac:dyDescent="0.25">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ht="15.75" customHeight="1" x14ac:dyDescent="0.25">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ht="15.75" customHeight="1" x14ac:dyDescent="0.25">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ht="15.75" customHeight="1" x14ac:dyDescent="0.25">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ht="15.75" customHeight="1" x14ac:dyDescent="0.2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ht="15.75" customHeight="1" x14ac:dyDescent="0.25">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ht="15.75" customHeight="1" x14ac:dyDescent="0.25">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ht="15.75" customHeight="1" x14ac:dyDescent="0.25">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ht="15.75" customHeight="1" x14ac:dyDescent="0.25">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ht="15.75" customHeight="1" x14ac:dyDescent="0.25">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ht="15.75" customHeight="1" x14ac:dyDescent="0.25">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ht="15.75" customHeight="1" x14ac:dyDescent="0.25">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ht="15.75" customHeight="1" x14ac:dyDescent="0.25">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ht="15.75" customHeight="1" x14ac:dyDescent="0.25">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ht="15.75" customHeight="1" x14ac:dyDescent="0.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ht="15.75" customHeight="1" x14ac:dyDescent="0.25">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ht="15.75" customHeight="1" x14ac:dyDescent="0.25">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ht="15.75" customHeight="1" x14ac:dyDescent="0.25">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ht="15.75" customHeight="1" x14ac:dyDescent="0.25">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ht="15.75" customHeight="1" x14ac:dyDescent="0.25">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ht="15.75" customHeight="1" x14ac:dyDescent="0.25">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ht="15.75" customHeight="1" x14ac:dyDescent="0.25">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ht="15.75" customHeight="1" x14ac:dyDescent="0.25">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ht="15.75" customHeight="1" x14ac:dyDescent="0.25">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ht="15.75" customHeight="1" x14ac:dyDescent="0.2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ht="15.75" customHeight="1" x14ac:dyDescent="0.25">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ht="15.75" customHeight="1" x14ac:dyDescent="0.25">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ht="15.75" customHeight="1" x14ac:dyDescent="0.25">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ht="15.75" customHeight="1" x14ac:dyDescent="0.25">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ht="15.75" customHeight="1" x14ac:dyDescent="0.25">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ht="15.75" customHeight="1" x14ac:dyDescent="0.25">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ht="15.75" customHeight="1" x14ac:dyDescent="0.25">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ht="15.75" customHeight="1" x14ac:dyDescent="0.25">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ht="15.75" customHeight="1" x14ac:dyDescent="0.25">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ht="15.75" customHeight="1" x14ac:dyDescent="0.2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ht="15.75" customHeight="1" x14ac:dyDescent="0.25">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ht="15.75" customHeight="1" x14ac:dyDescent="0.25">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ht="15.75" customHeight="1" x14ac:dyDescent="0.25">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ht="15.75" customHeight="1" x14ac:dyDescent="0.25">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ht="15.75" customHeight="1" x14ac:dyDescent="0.25">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ht="15.75" customHeight="1" x14ac:dyDescent="0.25">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ht="15.75" customHeight="1" x14ac:dyDescent="0.25">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ht="15.75" customHeight="1" x14ac:dyDescent="0.25">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ht="15.75" customHeight="1" x14ac:dyDescent="0.25">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ht="15.75" customHeight="1" x14ac:dyDescent="0.2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ht="15.75" customHeight="1" x14ac:dyDescent="0.25">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ht="15.75" customHeight="1" x14ac:dyDescent="0.25">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ht="15.75" customHeight="1" x14ac:dyDescent="0.25">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ht="15.75" customHeight="1" x14ac:dyDescent="0.25">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ht="15.75" customHeight="1" x14ac:dyDescent="0.25">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ht="15.75" customHeight="1" x14ac:dyDescent="0.25">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ht="15.75" customHeight="1" x14ac:dyDescent="0.25">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ht="15.75" customHeight="1" x14ac:dyDescent="0.25">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ht="15.75" customHeight="1" x14ac:dyDescent="0.25">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ht="15.75" customHeight="1" x14ac:dyDescent="0.2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ht="15.75" customHeight="1" x14ac:dyDescent="0.25">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ht="15.75" customHeight="1" x14ac:dyDescent="0.25">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ht="15.75" customHeight="1" x14ac:dyDescent="0.25">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ht="15.75" customHeight="1" x14ac:dyDescent="0.25">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ht="15.75" customHeight="1" x14ac:dyDescent="0.25">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ht="15.75" customHeight="1" x14ac:dyDescent="0.25">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ht="15.75" customHeight="1" x14ac:dyDescent="0.25">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ht="15.75" customHeight="1" x14ac:dyDescent="0.25">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ht="15.75" customHeight="1" x14ac:dyDescent="0.25">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ht="15.75" customHeight="1" x14ac:dyDescent="0.2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ht="15.75" customHeight="1" x14ac:dyDescent="0.25">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ht="15.75" customHeight="1" x14ac:dyDescent="0.25">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ht="15.75" customHeight="1" x14ac:dyDescent="0.25">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ht="15.75" customHeight="1" x14ac:dyDescent="0.25">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ht="15.75" customHeight="1" x14ac:dyDescent="0.25">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ht="15.75" customHeight="1" x14ac:dyDescent="0.25">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ht="15.75" customHeight="1" x14ac:dyDescent="0.25">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ht="15.75" customHeight="1" x14ac:dyDescent="0.25">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ht="15.75" customHeight="1" x14ac:dyDescent="0.25">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ht="15.75" customHeight="1" x14ac:dyDescent="0.2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ht="15.75" customHeight="1" x14ac:dyDescent="0.25">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ht="15.75" customHeight="1" x14ac:dyDescent="0.25">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ht="15.75" customHeight="1" x14ac:dyDescent="0.25">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ht="15.75" customHeight="1" x14ac:dyDescent="0.25">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ht="15.75" customHeight="1" x14ac:dyDescent="0.25">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ht="15.75" customHeight="1" x14ac:dyDescent="0.25">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ht="15.75" customHeight="1" x14ac:dyDescent="0.25">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ht="15.75" customHeight="1" x14ac:dyDescent="0.25">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ht="15.75" customHeight="1" x14ac:dyDescent="0.25">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ht="15.75" customHeight="1" x14ac:dyDescent="0.2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ht="15.75" customHeight="1" x14ac:dyDescent="0.25">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ht="15.75" customHeight="1" x14ac:dyDescent="0.25">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ht="15.75" customHeight="1" x14ac:dyDescent="0.25">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ht="15.75" customHeight="1" x14ac:dyDescent="0.25">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ht="15.75" customHeight="1" x14ac:dyDescent="0.25">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ht="15.75" customHeight="1" x14ac:dyDescent="0.25">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ht="15.75" customHeight="1" x14ac:dyDescent="0.25">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ht="15.75" customHeight="1" x14ac:dyDescent="0.25">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ht="15.75" customHeight="1" x14ac:dyDescent="0.25">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ht="15.75" customHeight="1" x14ac:dyDescent="0.2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ht="15.75" customHeight="1" x14ac:dyDescent="0.25">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ht="15.75" customHeight="1" x14ac:dyDescent="0.25">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ht="15.75" customHeight="1" x14ac:dyDescent="0.25">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ht="15.75" customHeight="1" x14ac:dyDescent="0.25">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ht="15.75" customHeight="1" x14ac:dyDescent="0.25">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ht="15.75" customHeight="1" x14ac:dyDescent="0.25">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ht="15.75" customHeight="1" x14ac:dyDescent="0.25">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ht="15.75" customHeight="1" x14ac:dyDescent="0.25">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ht="15.75" customHeight="1" x14ac:dyDescent="0.25">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ht="15.75" customHeight="1" x14ac:dyDescent="0.2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ht="15.75" customHeight="1" x14ac:dyDescent="0.25">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ht="15.75" customHeight="1" x14ac:dyDescent="0.25">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ht="15.75" customHeight="1" x14ac:dyDescent="0.25">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ht="15.75" customHeight="1" x14ac:dyDescent="0.25">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ht="15.75" customHeight="1" x14ac:dyDescent="0.25">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ht="15.75" customHeight="1" x14ac:dyDescent="0.25">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ht="15.75" customHeight="1" x14ac:dyDescent="0.25">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ht="15.75" customHeight="1" x14ac:dyDescent="0.25">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ht="15.75" customHeight="1" x14ac:dyDescent="0.25">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ht="15.75" customHeight="1" x14ac:dyDescent="0.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ht="15.75" customHeight="1" x14ac:dyDescent="0.25">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ht="15.75" customHeight="1" x14ac:dyDescent="0.25">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ht="15.75" customHeight="1" x14ac:dyDescent="0.25">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ht="15.75" customHeight="1" x14ac:dyDescent="0.25">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ht="15.75" customHeight="1" x14ac:dyDescent="0.25">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ht="15.75" customHeight="1" x14ac:dyDescent="0.25">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ht="15.75" customHeight="1" x14ac:dyDescent="0.25">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ht="15.75" customHeight="1" x14ac:dyDescent="0.25">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ht="15.75" customHeight="1" x14ac:dyDescent="0.25">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ht="15.75" customHeight="1" x14ac:dyDescent="0.2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ht="15.75" customHeight="1" x14ac:dyDescent="0.25">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ht="15.75" customHeight="1" x14ac:dyDescent="0.25">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ht="15.75" customHeight="1" x14ac:dyDescent="0.25">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ht="15.75" customHeight="1" x14ac:dyDescent="0.25">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ht="15.75" customHeight="1" x14ac:dyDescent="0.25">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ht="15.75" customHeight="1" x14ac:dyDescent="0.25">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ht="15.75" customHeight="1" x14ac:dyDescent="0.25">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ht="15.75" customHeight="1" x14ac:dyDescent="0.25">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ht="15.75" customHeight="1" x14ac:dyDescent="0.25">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ht="15.75" customHeight="1" x14ac:dyDescent="0.2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ht="15.75" customHeight="1" x14ac:dyDescent="0.25">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ht="15.75" customHeight="1" x14ac:dyDescent="0.25">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ht="15.75" customHeight="1" x14ac:dyDescent="0.25">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ht="15.75" customHeight="1" x14ac:dyDescent="0.25">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ht="15.75" customHeight="1" x14ac:dyDescent="0.25">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ht="15.75" customHeight="1" x14ac:dyDescent="0.25">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ht="15.75" customHeight="1" x14ac:dyDescent="0.25">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ht="15.75" customHeight="1" x14ac:dyDescent="0.25">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ht="15.75" customHeight="1" x14ac:dyDescent="0.25">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ht="15.75" customHeight="1" x14ac:dyDescent="0.2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ht="15.75" customHeight="1" x14ac:dyDescent="0.25">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ht="15.75" customHeight="1" x14ac:dyDescent="0.25">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ht="15.75" customHeight="1" x14ac:dyDescent="0.25">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ht="15.75" customHeight="1" x14ac:dyDescent="0.25">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ht="15.75" customHeight="1" x14ac:dyDescent="0.25">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ht="15.75" customHeight="1" x14ac:dyDescent="0.25">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ht="15.75" customHeight="1" x14ac:dyDescent="0.25">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ht="15.75" customHeight="1" x14ac:dyDescent="0.25">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ht="15.75" customHeight="1" x14ac:dyDescent="0.25">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ht="15.75" customHeight="1" x14ac:dyDescent="0.2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ht="15.75" customHeight="1" x14ac:dyDescent="0.25">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ht="15.75" customHeight="1" x14ac:dyDescent="0.25">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ht="15.75" customHeight="1" x14ac:dyDescent="0.25">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ht="15.75" customHeight="1" x14ac:dyDescent="0.25">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ht="15.75" customHeight="1" x14ac:dyDescent="0.25">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ht="15.75" customHeight="1" x14ac:dyDescent="0.25">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ht="15.75" customHeight="1" x14ac:dyDescent="0.25">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ht="15.75" customHeight="1" x14ac:dyDescent="0.25">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ht="15.75" customHeight="1" x14ac:dyDescent="0.25">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ht="15.75" customHeight="1" x14ac:dyDescent="0.2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ht="15.75" customHeight="1" x14ac:dyDescent="0.25">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ht="15.75" customHeight="1" x14ac:dyDescent="0.25">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ht="15.75" customHeight="1" x14ac:dyDescent="0.25">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ht="15.75" customHeight="1" x14ac:dyDescent="0.25">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ht="15.75" customHeight="1" x14ac:dyDescent="0.25">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ht="15.75" customHeight="1" x14ac:dyDescent="0.25">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ht="15.75" customHeight="1" x14ac:dyDescent="0.25">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ht="15.75" customHeight="1" x14ac:dyDescent="0.25">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ht="15.75" customHeight="1" x14ac:dyDescent="0.25">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ht="15.75" customHeight="1" x14ac:dyDescent="0.2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ht="15.75" customHeight="1" x14ac:dyDescent="0.25">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ht="15.75" customHeight="1" x14ac:dyDescent="0.25">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ht="15.75" customHeight="1" x14ac:dyDescent="0.25">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ht="15.75" customHeight="1" x14ac:dyDescent="0.25">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ht="15.75" customHeight="1" x14ac:dyDescent="0.25">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ht="15.75" customHeight="1" x14ac:dyDescent="0.25">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ht="15.75" customHeight="1" x14ac:dyDescent="0.25">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ht="15.75" customHeight="1" x14ac:dyDescent="0.25">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ht="15.75" customHeight="1" x14ac:dyDescent="0.25">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ht="15.75" customHeight="1" x14ac:dyDescent="0.2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ht="15.75" customHeight="1" x14ac:dyDescent="0.25">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ht="15.75" customHeight="1" x14ac:dyDescent="0.25">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ht="15.75" customHeight="1" x14ac:dyDescent="0.25">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ht="15.75" customHeight="1" x14ac:dyDescent="0.25">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ht="15.75" customHeight="1" x14ac:dyDescent="0.25">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ht="15.75" customHeight="1" x14ac:dyDescent="0.25">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ht="15.75" customHeight="1" x14ac:dyDescent="0.25">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ht="15.75" customHeight="1" x14ac:dyDescent="0.25">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ht="15.75" customHeight="1" x14ac:dyDescent="0.25">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ht="15.75" customHeight="1" x14ac:dyDescent="0.2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ht="15.75" customHeight="1" x14ac:dyDescent="0.25">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ht="15.75" customHeight="1" x14ac:dyDescent="0.25">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ht="15.75" customHeight="1" x14ac:dyDescent="0.25">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ht="15.75" customHeight="1" x14ac:dyDescent="0.25">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ht="15.75" customHeight="1" x14ac:dyDescent="0.25">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ht="15.75" customHeight="1" x14ac:dyDescent="0.25">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ht="15.75" customHeight="1" x14ac:dyDescent="0.25">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ht="15.75" customHeight="1" x14ac:dyDescent="0.25">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ht="15.75" customHeight="1" x14ac:dyDescent="0.25">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ht="15.75" customHeight="1" x14ac:dyDescent="0.2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ht="15.75" customHeight="1" x14ac:dyDescent="0.25">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ht="15.75" customHeight="1" x14ac:dyDescent="0.25">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ht="15.75" customHeight="1" x14ac:dyDescent="0.25">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ht="15.75" customHeight="1" x14ac:dyDescent="0.25">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ht="15.75" customHeight="1" x14ac:dyDescent="0.25">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ht="15.75" customHeight="1" x14ac:dyDescent="0.25">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ht="15.75" customHeight="1" x14ac:dyDescent="0.25">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ht="15.75" customHeight="1" x14ac:dyDescent="0.25">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ht="15.75" customHeight="1" x14ac:dyDescent="0.25">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ht="15.75" customHeight="1" x14ac:dyDescent="0.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ht="15.75" customHeight="1" x14ac:dyDescent="0.25">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ht="15.75" customHeight="1" x14ac:dyDescent="0.25">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ht="15.75" customHeight="1" x14ac:dyDescent="0.25">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ht="15.75" customHeight="1" x14ac:dyDescent="0.25">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ht="15.75" customHeight="1" x14ac:dyDescent="0.25">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ht="15.75" customHeight="1" x14ac:dyDescent="0.25">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ht="15.75" customHeight="1" x14ac:dyDescent="0.25">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ht="15.75" customHeight="1" x14ac:dyDescent="0.25">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ht="15.75" customHeight="1" x14ac:dyDescent="0.25">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ht="15.75" customHeight="1" x14ac:dyDescent="0.2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ht="15.75" customHeight="1" x14ac:dyDescent="0.25">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ht="15.75" customHeight="1" x14ac:dyDescent="0.25">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ht="15.75" customHeight="1" x14ac:dyDescent="0.25">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ht="15.75" customHeight="1" x14ac:dyDescent="0.25">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ht="15.75" customHeight="1" x14ac:dyDescent="0.25">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ht="15.75" customHeight="1" x14ac:dyDescent="0.25">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ht="15.75" customHeight="1" x14ac:dyDescent="0.25">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ht="15.75" customHeight="1" x14ac:dyDescent="0.25">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ht="15.75" customHeight="1" x14ac:dyDescent="0.25">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ht="15.75" customHeight="1" x14ac:dyDescent="0.2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ht="15.75" customHeight="1" x14ac:dyDescent="0.25">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ht="15.75" customHeight="1" x14ac:dyDescent="0.25">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ht="15.75" customHeight="1" x14ac:dyDescent="0.25">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ht="15.75" customHeight="1" x14ac:dyDescent="0.25">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ht="15.75" customHeight="1" x14ac:dyDescent="0.25">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ht="15.75" customHeight="1" x14ac:dyDescent="0.25">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ht="15.75" customHeight="1" x14ac:dyDescent="0.25">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ht="15.75" customHeight="1" x14ac:dyDescent="0.25">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ht="15.75" customHeight="1" x14ac:dyDescent="0.25">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ht="15.75" customHeight="1" x14ac:dyDescent="0.2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ht="15.75" customHeight="1" x14ac:dyDescent="0.25">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ht="15.75" customHeight="1" x14ac:dyDescent="0.25">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ht="15.75" customHeight="1" x14ac:dyDescent="0.25">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ht="15.75" customHeight="1" x14ac:dyDescent="0.25">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ht="15.75" customHeight="1" x14ac:dyDescent="0.25">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ht="15.75" customHeight="1" x14ac:dyDescent="0.25">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ht="15.75" customHeight="1" x14ac:dyDescent="0.25">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ht="15.75" customHeight="1" x14ac:dyDescent="0.25">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ht="15.75" customHeight="1" x14ac:dyDescent="0.25">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ht="15.75" customHeight="1" x14ac:dyDescent="0.2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ht="15.75" customHeight="1" x14ac:dyDescent="0.25">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ht="15.75" customHeight="1" x14ac:dyDescent="0.25">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ht="15.75" customHeight="1" x14ac:dyDescent="0.25">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ht="15.75" customHeight="1" x14ac:dyDescent="0.25">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ht="15.75" customHeight="1" x14ac:dyDescent="0.25">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ht="15.75" customHeight="1" x14ac:dyDescent="0.25">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ht="15.75" customHeight="1" x14ac:dyDescent="0.25">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ht="15.75" customHeight="1" x14ac:dyDescent="0.25">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ht="15.75" customHeight="1" x14ac:dyDescent="0.25">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ht="15.75" customHeight="1" x14ac:dyDescent="0.2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ht="15.75" customHeight="1" x14ac:dyDescent="0.25">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ht="15.75" customHeight="1" x14ac:dyDescent="0.25">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ht="15.75" customHeight="1" x14ac:dyDescent="0.25">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ht="15.75" customHeight="1" x14ac:dyDescent="0.25">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ht="15.75" customHeight="1" x14ac:dyDescent="0.25">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ht="15.75" customHeight="1" x14ac:dyDescent="0.25">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ht="15.75" customHeight="1" x14ac:dyDescent="0.25">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ht="15.75" customHeight="1" x14ac:dyDescent="0.25">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ht="15.75" customHeight="1" x14ac:dyDescent="0.25">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ht="15.75" customHeight="1" x14ac:dyDescent="0.2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ht="15.75" customHeight="1" x14ac:dyDescent="0.25">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ht="15.75" customHeight="1" x14ac:dyDescent="0.25">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ht="15.75" customHeight="1" x14ac:dyDescent="0.25">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ht="15.75" customHeight="1" x14ac:dyDescent="0.25">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ht="15.75" customHeight="1" x14ac:dyDescent="0.25">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ht="15.75" customHeight="1" x14ac:dyDescent="0.25">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ht="15.75" customHeight="1" x14ac:dyDescent="0.25">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ht="15.75" customHeight="1" x14ac:dyDescent="0.25">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ht="15.75" customHeight="1" x14ac:dyDescent="0.25">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ht="15.75" customHeight="1" x14ac:dyDescent="0.2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ht="15.75" customHeight="1" x14ac:dyDescent="0.25">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ht="15.75" customHeight="1" x14ac:dyDescent="0.25">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ht="15.75" customHeight="1" x14ac:dyDescent="0.25">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ht="15.75" customHeight="1" x14ac:dyDescent="0.25">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ht="15.75" customHeight="1" x14ac:dyDescent="0.25">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ht="15.75" customHeight="1" x14ac:dyDescent="0.25">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ht="15.75" customHeight="1" x14ac:dyDescent="0.25">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ht="15.75" customHeight="1" x14ac:dyDescent="0.25">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ht="15.75" customHeight="1" x14ac:dyDescent="0.25">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ht="15.75" customHeight="1" x14ac:dyDescent="0.2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ht="15.75" customHeight="1" x14ac:dyDescent="0.25">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ht="15.75" customHeight="1" x14ac:dyDescent="0.25">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ht="15.75" customHeight="1" x14ac:dyDescent="0.25">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ht="15.75" customHeight="1" x14ac:dyDescent="0.25">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ht="15.75" customHeight="1" x14ac:dyDescent="0.25">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ht="15.75" customHeight="1" x14ac:dyDescent="0.25">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ht="15.75" customHeight="1" x14ac:dyDescent="0.25">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ht="15.75" customHeight="1" x14ac:dyDescent="0.25">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ht="15.75" customHeight="1" x14ac:dyDescent="0.25">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ht="15.75" customHeight="1" x14ac:dyDescent="0.2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ht="15.75" customHeight="1" x14ac:dyDescent="0.25">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ht="15.75" customHeight="1" x14ac:dyDescent="0.25">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ht="15.75" customHeight="1" x14ac:dyDescent="0.25">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ht="15.75" customHeight="1" x14ac:dyDescent="0.25">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ht="15.75" customHeight="1" x14ac:dyDescent="0.25">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ht="15.75" customHeight="1" x14ac:dyDescent="0.25">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ht="15.75" customHeight="1" x14ac:dyDescent="0.25">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ht="15.75" customHeight="1" x14ac:dyDescent="0.25">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ht="15.75" customHeight="1" x14ac:dyDescent="0.25">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ht="15.75" customHeight="1" x14ac:dyDescent="0.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ht="15.75" customHeight="1" x14ac:dyDescent="0.25">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ht="15.75" customHeight="1" x14ac:dyDescent="0.25">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ht="15.75" customHeight="1" x14ac:dyDescent="0.25">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ht="15.75" customHeight="1" x14ac:dyDescent="0.25">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ht="15.75" customHeight="1" x14ac:dyDescent="0.25">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ht="15.75" customHeight="1" x14ac:dyDescent="0.25">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ht="15.75" customHeight="1" x14ac:dyDescent="0.25">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ht="15.75" customHeight="1" x14ac:dyDescent="0.25">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ht="15.75" customHeight="1" x14ac:dyDescent="0.25">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ht="15.75" customHeight="1" x14ac:dyDescent="0.2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ht="15.75" customHeight="1" x14ac:dyDescent="0.25">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ht="15.75" customHeight="1" x14ac:dyDescent="0.25">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ht="15.75" customHeight="1" x14ac:dyDescent="0.25">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ht="15.75" customHeight="1" x14ac:dyDescent="0.25">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ht="15.75" customHeight="1" x14ac:dyDescent="0.25">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ht="15.75" customHeight="1" x14ac:dyDescent="0.25">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ht="15.75" customHeight="1" x14ac:dyDescent="0.25">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ht="15.75" customHeight="1" x14ac:dyDescent="0.25">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ht="15.75" customHeight="1" x14ac:dyDescent="0.25">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ht="15.75" customHeight="1" x14ac:dyDescent="0.2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ht="15.75" customHeight="1" x14ac:dyDescent="0.25">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ht="15.75" customHeight="1" x14ac:dyDescent="0.25">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ht="15.75" customHeight="1" x14ac:dyDescent="0.25">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ht="15.75" customHeight="1" x14ac:dyDescent="0.25">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ht="15.75" customHeight="1" x14ac:dyDescent="0.25">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ht="15.75" customHeight="1" x14ac:dyDescent="0.25">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ht="15.75" customHeight="1" x14ac:dyDescent="0.25">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ht="15.75" customHeight="1" x14ac:dyDescent="0.25">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ht="15.75" customHeight="1" x14ac:dyDescent="0.25">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ht="15.75" customHeight="1" x14ac:dyDescent="0.2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ht="15.75" customHeight="1" x14ac:dyDescent="0.25">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ht="15.75" customHeight="1" x14ac:dyDescent="0.25">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ht="15.75" customHeight="1" x14ac:dyDescent="0.25">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ht="15.75" customHeight="1" x14ac:dyDescent="0.25">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ht="15.75" customHeight="1" x14ac:dyDescent="0.25">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ht="15.75" customHeight="1" x14ac:dyDescent="0.25">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ht="15.75" customHeight="1" x14ac:dyDescent="0.25">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ht="15.75" customHeight="1" x14ac:dyDescent="0.25">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ht="15.75" customHeight="1" x14ac:dyDescent="0.25">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ht="15.75" customHeight="1" x14ac:dyDescent="0.2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ht="15.75" customHeight="1" x14ac:dyDescent="0.25">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ht="15.75" customHeight="1" x14ac:dyDescent="0.25">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ht="15.75" customHeight="1" x14ac:dyDescent="0.25">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ht="15.75" customHeight="1" x14ac:dyDescent="0.25">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ht="15.75" customHeight="1" x14ac:dyDescent="0.25">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ht="15.75" customHeight="1" x14ac:dyDescent="0.25">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ht="15.75" customHeight="1" x14ac:dyDescent="0.25">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ht="15.75" customHeight="1" x14ac:dyDescent="0.25">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ht="15.75" customHeight="1" x14ac:dyDescent="0.25">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ht="15.75" customHeight="1" x14ac:dyDescent="0.2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ht="15.75" customHeight="1" x14ac:dyDescent="0.25">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ht="15.75" customHeight="1" x14ac:dyDescent="0.25">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ht="15.75" customHeight="1" x14ac:dyDescent="0.25">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ht="15.75" customHeight="1" x14ac:dyDescent="0.25">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ht="15.75" customHeight="1" x14ac:dyDescent="0.25">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ht="15.75" customHeight="1" x14ac:dyDescent="0.25">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ht="15.75" customHeight="1" x14ac:dyDescent="0.25">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ht="15.75" customHeight="1" x14ac:dyDescent="0.25">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ht="15.75" customHeight="1" x14ac:dyDescent="0.25">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ht="15.75" customHeight="1" x14ac:dyDescent="0.2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ht="15.75" customHeight="1" x14ac:dyDescent="0.25">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ht="15.75" customHeight="1" x14ac:dyDescent="0.25">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ht="15.75" customHeight="1" x14ac:dyDescent="0.25">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ht="15.75" customHeight="1" x14ac:dyDescent="0.25">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ht="15.75" customHeight="1" x14ac:dyDescent="0.25">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ht="15.75" customHeight="1" x14ac:dyDescent="0.25">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ht="15.75" customHeight="1" x14ac:dyDescent="0.25">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ht="15.75" customHeight="1" x14ac:dyDescent="0.25">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ht="15.75" customHeight="1" x14ac:dyDescent="0.25">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ht="15.75" customHeight="1" x14ac:dyDescent="0.2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ht="15.75" customHeight="1" x14ac:dyDescent="0.25">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ht="15.75" customHeight="1" x14ac:dyDescent="0.25">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ht="15.75" customHeight="1" x14ac:dyDescent="0.25">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ht="15.75" customHeight="1" x14ac:dyDescent="0.25">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ht="15.75" customHeight="1" x14ac:dyDescent="0.25">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ht="15.75" customHeight="1" x14ac:dyDescent="0.25">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ht="15.75" customHeight="1" x14ac:dyDescent="0.25">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ht="15.75" customHeight="1" x14ac:dyDescent="0.25">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ht="15.75" customHeight="1" x14ac:dyDescent="0.25">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ht="15.75" customHeight="1" x14ac:dyDescent="0.2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ht="15.75" customHeight="1" x14ac:dyDescent="0.25">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ht="15.75" customHeight="1" x14ac:dyDescent="0.25">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ht="15.75" customHeight="1" x14ac:dyDescent="0.25">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ht="15.75" customHeight="1" x14ac:dyDescent="0.25">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ht="15.75" customHeight="1" x14ac:dyDescent="0.25">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ht="15.75" customHeight="1" x14ac:dyDescent="0.25">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ht="15.75" customHeight="1" x14ac:dyDescent="0.25">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ht="15.75" customHeight="1" x14ac:dyDescent="0.25">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ht="15.75" customHeight="1" x14ac:dyDescent="0.25">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ht="15.75" customHeight="1" x14ac:dyDescent="0.2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ht="15.75" customHeight="1" x14ac:dyDescent="0.25">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ht="15.75" customHeight="1" x14ac:dyDescent="0.25">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ht="15.75" customHeight="1" x14ac:dyDescent="0.25">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ht="15.75" customHeight="1" x14ac:dyDescent="0.25">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ht="15.75" customHeight="1" x14ac:dyDescent="0.25">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ht="15.75" customHeight="1" x14ac:dyDescent="0.25">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ht="15.75" customHeight="1" x14ac:dyDescent="0.25">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ht="15.75" customHeight="1" x14ac:dyDescent="0.25">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ht="15.75" customHeight="1" x14ac:dyDescent="0.25">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ht="15.75" customHeight="1" x14ac:dyDescent="0.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ht="15.75" customHeight="1" x14ac:dyDescent="0.25">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ht="15.75" customHeight="1" x14ac:dyDescent="0.25">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ht="15.75" customHeight="1" x14ac:dyDescent="0.25">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ht="15.75" customHeight="1" x14ac:dyDescent="0.25">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ht="15.75" customHeight="1" x14ac:dyDescent="0.25">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ht="15.75" customHeight="1" x14ac:dyDescent="0.25">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ht="15.75" customHeight="1" x14ac:dyDescent="0.25">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ht="15.75" customHeight="1" x14ac:dyDescent="0.25">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ht="15.75" customHeight="1" x14ac:dyDescent="0.25">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ht="15.75" customHeight="1" x14ac:dyDescent="0.2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ht="15.75" customHeight="1" x14ac:dyDescent="0.25">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ht="15.75" customHeight="1" x14ac:dyDescent="0.25">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ht="15.75" customHeight="1" x14ac:dyDescent="0.25">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ht="15.75" customHeight="1" x14ac:dyDescent="0.25">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ht="15.75" customHeight="1" x14ac:dyDescent="0.25">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ht="15.75" customHeight="1" x14ac:dyDescent="0.25">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ht="15.75" customHeight="1" x14ac:dyDescent="0.25">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ht="15.75" customHeight="1" x14ac:dyDescent="0.25">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ht="15.75" customHeight="1" x14ac:dyDescent="0.25">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ht="15.75" customHeight="1" x14ac:dyDescent="0.2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ht="15.75" customHeight="1" x14ac:dyDescent="0.25">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ht="15.75" customHeight="1" x14ac:dyDescent="0.25">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ht="15.75" customHeight="1" x14ac:dyDescent="0.25">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ht="15.75" customHeight="1" x14ac:dyDescent="0.25">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ht="15.75" customHeight="1" x14ac:dyDescent="0.25">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ht="15.75" customHeight="1" x14ac:dyDescent="0.25">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ht="15.75" customHeight="1" x14ac:dyDescent="0.25">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ht="15.75" customHeight="1" x14ac:dyDescent="0.25">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ht="15.75" customHeight="1" x14ac:dyDescent="0.25">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ht="15.75" customHeight="1" x14ac:dyDescent="0.2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ht="15.75" customHeight="1" x14ac:dyDescent="0.25">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ht="15.75" customHeight="1" x14ac:dyDescent="0.25">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ht="15.75" customHeight="1" x14ac:dyDescent="0.25">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ht="15.75" customHeight="1" x14ac:dyDescent="0.25">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ht="15.75" customHeight="1" x14ac:dyDescent="0.25">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ht="15.75" customHeight="1" x14ac:dyDescent="0.25">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ht="15.75" customHeight="1" x14ac:dyDescent="0.25">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ht="15.75" customHeight="1" x14ac:dyDescent="0.25">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ht="15.75" customHeight="1" x14ac:dyDescent="0.25">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ht="15.75" customHeight="1" x14ac:dyDescent="0.2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ht="15.75" customHeight="1" x14ac:dyDescent="0.25">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ht="15.75" customHeight="1" x14ac:dyDescent="0.25">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ht="15.75" customHeight="1" x14ac:dyDescent="0.25">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ht="15.75" customHeight="1" x14ac:dyDescent="0.25">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ht="15.75" customHeight="1" x14ac:dyDescent="0.25">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ht="15.75" customHeight="1" x14ac:dyDescent="0.25">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ht="15.75" customHeight="1" x14ac:dyDescent="0.25">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ht="15.75" customHeight="1" x14ac:dyDescent="0.25">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ht="15.75" customHeight="1" x14ac:dyDescent="0.25">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ht="15.75" customHeight="1" x14ac:dyDescent="0.2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ht="15.75" customHeight="1" x14ac:dyDescent="0.25">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ht="15.75" customHeight="1" x14ac:dyDescent="0.25">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ht="15.75" customHeight="1" x14ac:dyDescent="0.25">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ht="15.75" customHeight="1" x14ac:dyDescent="0.25">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ht="15.75" customHeight="1" x14ac:dyDescent="0.25">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ht="15.75" customHeight="1" x14ac:dyDescent="0.25">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ht="15.75" customHeight="1" x14ac:dyDescent="0.25">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ht="15.75" customHeight="1" x14ac:dyDescent="0.25">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ht="15.75" customHeight="1" x14ac:dyDescent="0.25">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ht="15.75" customHeight="1" x14ac:dyDescent="0.2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ht="15.75" customHeight="1" x14ac:dyDescent="0.25">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ht="15.75" customHeight="1" x14ac:dyDescent="0.25">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ht="15.75" customHeight="1" x14ac:dyDescent="0.25">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ht="15.75" customHeight="1" x14ac:dyDescent="0.25">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ht="15.75" customHeight="1" x14ac:dyDescent="0.25">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ht="15.75" customHeight="1" x14ac:dyDescent="0.25">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ht="15.75" customHeight="1" x14ac:dyDescent="0.25">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ht="15.75" customHeight="1" x14ac:dyDescent="0.25">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ht="15.75" customHeight="1" x14ac:dyDescent="0.25">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ht="15.75" customHeight="1" x14ac:dyDescent="0.2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ht="15.75" customHeight="1" x14ac:dyDescent="0.25">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ht="15.75" customHeight="1" x14ac:dyDescent="0.25">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ht="15.75" customHeight="1" x14ac:dyDescent="0.25">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ht="15.75" customHeight="1" x14ac:dyDescent="0.25">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ht="15.75" customHeight="1" x14ac:dyDescent="0.25">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ht="15.75" customHeight="1" x14ac:dyDescent="0.25">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ht="15.75" customHeight="1" x14ac:dyDescent="0.25">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ht="15.75" customHeight="1" x14ac:dyDescent="0.25">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ht="15.75" customHeight="1" x14ac:dyDescent="0.25">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ht="15.75" customHeight="1" x14ac:dyDescent="0.2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ht="15.75" customHeight="1" x14ac:dyDescent="0.25">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ht="15.75" customHeight="1" x14ac:dyDescent="0.25">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ht="15.75" customHeight="1" x14ac:dyDescent="0.25">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ht="15.75" customHeight="1" x14ac:dyDescent="0.25">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ht="15.75" customHeight="1" x14ac:dyDescent="0.25">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ht="15.75" customHeight="1" x14ac:dyDescent="0.25">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ht="15.75" customHeight="1" x14ac:dyDescent="0.25">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ht="15.75" customHeight="1" x14ac:dyDescent="0.25">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ht="15.75" customHeight="1" x14ac:dyDescent="0.25">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ht="15.75" customHeight="1" x14ac:dyDescent="0.2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ht="15.75" customHeight="1" x14ac:dyDescent="0.25">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ht="15.75" customHeight="1" x14ac:dyDescent="0.25">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ht="15.75" customHeight="1" x14ac:dyDescent="0.25">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ht="15.75" customHeight="1" x14ac:dyDescent="0.25">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ht="15.75" customHeight="1" x14ac:dyDescent="0.25">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ht="15.75" customHeight="1" x14ac:dyDescent="0.25">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ht="15.75" customHeight="1" x14ac:dyDescent="0.25">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ht="15.75" customHeight="1" x14ac:dyDescent="0.25">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ht="15.75" customHeight="1" x14ac:dyDescent="0.25">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ht="15.75" customHeight="1" x14ac:dyDescent="0.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ht="15.75" customHeight="1" x14ac:dyDescent="0.25">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ht="15.75" customHeight="1" x14ac:dyDescent="0.25">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ht="15.75" customHeight="1" x14ac:dyDescent="0.25">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ht="15.75" customHeight="1" x14ac:dyDescent="0.25">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ht="15.75" customHeight="1" x14ac:dyDescent="0.25">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ht="15.75" customHeight="1" x14ac:dyDescent="0.25">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ht="15.75" customHeight="1" x14ac:dyDescent="0.25">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ht="15.75" customHeight="1" x14ac:dyDescent="0.25">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ht="15.75" customHeight="1" x14ac:dyDescent="0.25">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ht="15.75" customHeight="1" x14ac:dyDescent="0.2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ht="15.75" customHeight="1" x14ac:dyDescent="0.25">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ht="15.75" customHeight="1" x14ac:dyDescent="0.25">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ht="15.75" customHeight="1" x14ac:dyDescent="0.25">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ht="15.75" customHeight="1" x14ac:dyDescent="0.25">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ht="15.75" customHeight="1" x14ac:dyDescent="0.25">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ht="15.75" customHeight="1" x14ac:dyDescent="0.25">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ht="15.75" customHeight="1" x14ac:dyDescent="0.25">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ht="15.75" customHeight="1" x14ac:dyDescent="0.25">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ht="15.75" customHeight="1" x14ac:dyDescent="0.25">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ht="15.75" customHeight="1" x14ac:dyDescent="0.2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ht="15.75" customHeight="1" x14ac:dyDescent="0.25">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ht="15.75" customHeight="1" x14ac:dyDescent="0.25">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ht="15.75" customHeight="1" x14ac:dyDescent="0.25">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ht="15.75" customHeight="1" x14ac:dyDescent="0.25">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ht="15.75" customHeight="1" x14ac:dyDescent="0.25">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ht="15.75" customHeight="1" x14ac:dyDescent="0.25">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ht="15.75" customHeight="1" x14ac:dyDescent="0.25">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ht="15.75" customHeight="1" x14ac:dyDescent="0.25">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ht="15.75" customHeight="1" x14ac:dyDescent="0.25">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ht="15.75" customHeight="1" x14ac:dyDescent="0.2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ht="15.75" customHeight="1" x14ac:dyDescent="0.25">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ht="15.75" customHeight="1" x14ac:dyDescent="0.25">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ht="15.75" customHeight="1" x14ac:dyDescent="0.25">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ht="15.75" customHeight="1" x14ac:dyDescent="0.25">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ht="15.75" customHeight="1" x14ac:dyDescent="0.25">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ht="15.75" customHeight="1" x14ac:dyDescent="0.25">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ht="15.75" customHeight="1" x14ac:dyDescent="0.25">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ht="15.75" customHeight="1" x14ac:dyDescent="0.25">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ht="15.75" customHeight="1" x14ac:dyDescent="0.25">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ht="15.75" customHeight="1" x14ac:dyDescent="0.2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ht="15.75" customHeight="1" x14ac:dyDescent="0.25">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ht="15.75" customHeight="1" x14ac:dyDescent="0.25">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ht="15.75" customHeight="1" x14ac:dyDescent="0.25">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ht="15.75" customHeight="1" x14ac:dyDescent="0.25">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ht="15.75" customHeight="1" x14ac:dyDescent="0.25">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ht="15.75" customHeight="1" x14ac:dyDescent="0.25">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ht="15.75" customHeight="1" x14ac:dyDescent="0.25">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ht="15.75" customHeight="1" x14ac:dyDescent="0.25">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ht="15.75" customHeight="1" x14ac:dyDescent="0.25">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ht="15.75" customHeight="1" x14ac:dyDescent="0.2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ht="15.75" customHeight="1" x14ac:dyDescent="0.25">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ht="15.75" customHeight="1" x14ac:dyDescent="0.25">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ht="15.75" customHeight="1" x14ac:dyDescent="0.25">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ht="15.75" customHeight="1" x14ac:dyDescent="0.25">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ht="15.75" customHeight="1" x14ac:dyDescent="0.25">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ht="15.75" customHeight="1" x14ac:dyDescent="0.25">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ht="15.75" customHeight="1" x14ac:dyDescent="0.25">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ht="15.75" customHeight="1" x14ac:dyDescent="0.25">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ht="15.75" customHeight="1" x14ac:dyDescent="0.25">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ht="15.75" customHeight="1" x14ac:dyDescent="0.2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ht="15.75" customHeight="1" x14ac:dyDescent="0.25">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ht="15.75" customHeight="1" x14ac:dyDescent="0.25">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ht="15.75" customHeight="1" x14ac:dyDescent="0.25">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ht="15.75" customHeight="1" x14ac:dyDescent="0.25">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ht="15.75" customHeight="1" x14ac:dyDescent="0.25">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ht="15.75" customHeight="1" x14ac:dyDescent="0.25">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ht="15.75" customHeight="1" x14ac:dyDescent="0.25">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ht="15.75" customHeight="1" x14ac:dyDescent="0.25">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ht="15.75" customHeight="1" x14ac:dyDescent="0.25">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ht="15.75" customHeight="1" x14ac:dyDescent="0.2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sheetData>
  <mergeCells count="2">
    <mergeCell ref="D3:F3"/>
    <mergeCell ref="C4:G4"/>
  </mergeCell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Visual Summary</vt:lpstr>
      <vt:lpstr>Smart Rice</vt:lpstr>
      <vt:lpstr>Banana</vt:lpstr>
      <vt:lpstr>Shrimp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Ross Mallory</cp:lastModifiedBy>
  <dcterms:created xsi:type="dcterms:W3CDTF">2021-10-19T02:30:57Z</dcterms:created>
  <dcterms:modified xsi:type="dcterms:W3CDTF">2026-02-04T22:42:47Z</dcterms:modified>
</cp:coreProperties>
</file>